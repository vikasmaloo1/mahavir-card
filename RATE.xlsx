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175" windowHeight="79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24519"/>
</workbook>
</file>

<file path=xl/calcChain.xml><?xml version="1.0" encoding="utf-8"?>
<calcChain xmlns="http://schemas.openxmlformats.org/spreadsheetml/2006/main">
  <c r="F15" i="3"/>
  <c r="F9" l="1"/>
  <c r="F3"/>
  <c r="B64" i="2"/>
  <c r="B63"/>
  <c r="J41"/>
  <c r="J42" s="1"/>
  <c r="B41"/>
  <c r="R19"/>
  <c r="R20" s="1"/>
  <c r="J19"/>
  <c r="J20" s="1"/>
  <c r="B19"/>
  <c r="B20" s="1"/>
  <c r="B21" s="1"/>
  <c r="J100" i="1"/>
  <c r="J77"/>
  <c r="B75"/>
  <c r="B55"/>
  <c r="B56" s="1"/>
  <c r="B57" s="1"/>
  <c r="B65" i="2" l="1"/>
  <c r="B42"/>
  <c r="B43" s="1"/>
  <c r="J21"/>
  <c r="J43"/>
  <c r="R21"/>
  <c r="J101" i="1"/>
  <c r="J102" s="1"/>
  <c r="J78"/>
  <c r="J79" s="1"/>
  <c r="B76"/>
  <c r="B77" s="1"/>
  <c r="J56"/>
  <c r="J55"/>
  <c r="J35"/>
  <c r="J34"/>
  <c r="J15"/>
  <c r="J16" s="1"/>
  <c r="B34"/>
  <c r="B35" s="1"/>
  <c r="B36" s="1"/>
  <c r="B15"/>
  <c r="B16" s="1"/>
  <c r="J57" l="1"/>
  <c r="J36"/>
  <c r="J17"/>
  <c r="B17"/>
</calcChain>
</file>

<file path=xl/sharedStrings.xml><?xml version="1.0" encoding="utf-8"?>
<sst xmlns="http://schemas.openxmlformats.org/spreadsheetml/2006/main" count="282" uniqueCount="90">
  <si>
    <t>NT SINGLE</t>
  </si>
  <si>
    <t>Page 1: Design File</t>
  </si>
  <si>
    <r>
      <t>● </t>
    </r>
    <r>
      <rPr>
        <b/>
        <sz val="11"/>
        <color rgb="FF696999"/>
        <rFont val="Arial"/>
        <family val="2"/>
      </rPr>
      <t>Size Must be as below:</t>
    </r>
  </si>
  <si>
    <t>● Recommended Black Color Ratio: C-50, M-20, Y-20, K-100</t>
  </si>
  <si>
    <t>    for achieving a rich, premium black in print.</t>
  </si>
  <si>
    <t>● Use high-resolution imagery for the clearest &amp; sharpest results.</t>
  </si>
  <si>
    <t xml:space="preserve">RATE </t>
  </si>
  <si>
    <t>COURIER</t>
  </si>
  <si>
    <t>GST 18%</t>
  </si>
  <si>
    <r>
      <t>Full design:</t>
    </r>
    <r>
      <rPr>
        <sz val="9"/>
        <color rgb="FF5D6F8D"/>
        <rFont val="Arial"/>
        <family val="2"/>
      </rPr>
      <t> 90 x 53  mm</t>
    </r>
  </si>
  <si>
    <r>
      <t>Safe area:</t>
    </r>
    <r>
      <rPr>
        <sz val="9"/>
        <color rgb="FF5D6F8D"/>
        <rFont val="Arial"/>
        <family val="2"/>
      </rPr>
      <t> 83 x 47 mm</t>
    </r>
  </si>
  <si>
    <t>NT FB</t>
  </si>
  <si>
    <t>Page 1: Front Design File</t>
  </si>
  <si>
    <t>Page 2: Back Design File</t>
  </si>
  <si>
    <t>2-3 working days</t>
  </si>
  <si>
    <t>3-4 working days</t>
  </si>
  <si>
    <t>Tearable Single Side  ART CARD  250 GSM</t>
  </si>
  <si>
    <t>Tearable F-B Without Lamination</t>
  </si>
  <si>
    <t>Tearable F-B With Lamination</t>
  </si>
  <si>
    <t>Tearable visiting cards with front and back printing and GLOSSY lamination.</t>
  </si>
  <si>
    <r>
      <t>Full design:</t>
    </r>
    <r>
      <rPr>
        <sz val="9"/>
        <color rgb="FF5D6F8D"/>
        <rFont val="Arial"/>
        <family val="2"/>
      </rPr>
      <t> 92 x 54  mm</t>
    </r>
  </si>
  <si>
    <t>400 GSM THERMAL MATT CARD  Single + F-B</t>
  </si>
  <si>
    <t>● Recommended Black Color Ratio: C-30, M-00, Y-00, K-100</t>
  </si>
  <si>
    <t>4-5 working days</t>
  </si>
  <si>
    <t>CORNER CUT</t>
  </si>
  <si>
    <t>EXTRA</t>
  </si>
  <si>
    <t>350 GSM THERMAL MATT CARD  TEXTURE</t>
  </si>
  <si>
    <t>400 GSM THERMAL MATT  Single Side UV Card</t>
  </si>
  <si>
    <t>Page 3: Spot UV File (b&amp;w only)</t>
  </si>
  <si>
    <t>5-7 working days</t>
  </si>
  <si>
    <t>400 GSM THERMAL MATT  FRONT BACK UV Card</t>
  </si>
  <si>
    <t>Page 4: Spot UV File (b&amp;w only)</t>
  </si>
  <si>
    <t>VISITING CARD</t>
  </si>
  <si>
    <r>
      <t>Full design:</t>
    </r>
    <r>
      <rPr>
        <sz val="9"/>
        <color rgb="FF5D6F8D"/>
        <rFont val="Arial"/>
        <family val="2"/>
      </rPr>
      <t> 93.5 x 54  mm</t>
    </r>
  </si>
  <si>
    <t xml:space="preserve"> Final Card Size (After Cutting) : W: 90.00 mm x H: 53.00 mm</t>
  </si>
  <si>
    <t>7-10 working days</t>
  </si>
  <si>
    <t>400 GSM VELVET  (93.5X54)</t>
  </si>
  <si>
    <t>400 GSM VELVET  SINGLE SIDE UV (93.5X54)</t>
  </si>
  <si>
    <t>400 GSM VELVET  FRONT BACK UV (93.5X54)</t>
  </si>
  <si>
    <t>400 GSM VELVET  WITH SINGLE SIDE FOIL (93.5X54)</t>
  </si>
  <si>
    <t>Page 3: FOIL File (b&amp;w only)</t>
  </si>
  <si>
    <t>400 GSM VELVET  WITH FRONT BACK FOIL (93.5X54)</t>
  </si>
  <si>
    <t>Page 4: FOIL File (b&amp;w only)</t>
  </si>
  <si>
    <t>400 GSM DRIPOFF FB (93.5X54)</t>
  </si>
  <si>
    <t>Page 3: DRIPOFF File (b&amp;w only)</t>
  </si>
  <si>
    <t>Page 4: DRIPOFF File (b&amp;w only)</t>
  </si>
  <si>
    <t>1000 QTY</t>
  </si>
  <si>
    <t>ART CARD SQ. INCH JOB 250 GSM</t>
  </si>
  <si>
    <t>THIS JOB BIG SIZE ONLY  (MINIMUM SQ. INCH 50 )</t>
  </si>
  <si>
    <t>ART CARD SINGLE SIDE (SQ.INCH)             28</t>
  </si>
  <si>
    <t>ART CARD BOTH SIDE (SQ.INCH)                  33</t>
  </si>
  <si>
    <t>ART CARD BOTH SIDE LAMINATION (SQ.INCH)   37</t>
  </si>
  <si>
    <t>LETTERHEAD / ENVELOPE</t>
  </si>
  <si>
    <t>100 ALABASTER (210X297)</t>
  </si>
  <si>
    <t>80 GSM SS FINISH (210X297)</t>
  </si>
  <si>
    <t>100 GSM SS FINISH (210X297)</t>
  </si>
  <si>
    <t>2-3 DAY</t>
  </si>
  <si>
    <t>3-4 DAY</t>
  </si>
  <si>
    <t>4-5 DAY</t>
  </si>
  <si>
    <t>100 ALABASTER   9.5X4.25  ENVELOPE</t>
  </si>
  <si>
    <t>80 GSM SS FINISH    9.5X4.25  ENVELOPE</t>
  </si>
  <si>
    <t>100 GSM SS FINISH    9.5X4.25  ENVELOPE</t>
  </si>
  <si>
    <t>100 ALABSTER FRO-BACK (210X297)</t>
  </si>
  <si>
    <t>BROCHER ART CARD  250 GSM</t>
  </si>
  <si>
    <t>A4 SIZE SINGLE SIDE 8.5 X 11.25</t>
  </si>
  <si>
    <t>A4 SIZE BOTH SIDE WITHOUT LAMI. 8.5 X 11.25</t>
  </si>
  <si>
    <t>A4 SIDE BOTH SIDE LAMINATION 8.5 X 11.25</t>
  </si>
  <si>
    <t>A8 250 TERRABLE SS  8.5 X 5.5</t>
  </si>
  <si>
    <t>A8 250 TERRABLE FB 8.5 X 5.5</t>
  </si>
  <si>
    <t>A8 250 LAMINATION FB 8.5 X 5.5</t>
  </si>
  <si>
    <t>A4 130 GSM ART PAPER (S/S)</t>
  </si>
  <si>
    <t>A4 130 GSM ART PAPER  F/B</t>
  </si>
  <si>
    <t>LEAFLET / COVER</t>
  </si>
  <si>
    <t>A4 130 GSM ART PAPER 9.5 X 4.25 COVER</t>
  </si>
  <si>
    <t>A4 170 GSM ART PAPER  (S/S OR F/B)</t>
  </si>
  <si>
    <t>STICKER</t>
  </si>
  <si>
    <t>STICKER WITHOUT LAMIN. (80/90) (SQ.INCH)</t>
  </si>
  <si>
    <t>STICKER WITH LAMINATION (80/90) (SQ.INCH)</t>
  </si>
  <si>
    <t>AVERY STICKER WITHOUT LAMIN. (80/90) (SQ.INCH)</t>
  </si>
  <si>
    <t>AVERY STICKER WITH LAMINATION (80/90) (SQ.INCH)</t>
  </si>
  <si>
    <t>HALF BLADE CHARGE PER BLADE 50/- EXTRA</t>
  </si>
  <si>
    <t>4-5 DAY  ( MINIMUM CHARGE 250/-)</t>
  </si>
  <si>
    <t>4-5 DAY  ( MINIMUM CHARGE 300/-)</t>
  </si>
  <si>
    <t>5-7 DAY   ( MINIMUM CHARGE 350/-)</t>
  </si>
  <si>
    <t>7-10 DAY        ( MINIMUM CHARGE 400/-)</t>
  </si>
  <si>
    <t>PREMIUM  CARD (ROUND CUT WITH DYE PUNCHING)</t>
  </si>
  <si>
    <t>W</t>
  </si>
  <si>
    <t>RATE</t>
  </si>
  <si>
    <t>H</t>
  </si>
  <si>
    <t>witout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</si>
</sst>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9"/>
      <color rgb="FF5D6F8D"/>
      <name val="Arial"/>
      <family val="2"/>
    </font>
    <font>
      <sz val="9"/>
      <color rgb="FF5D6F8D"/>
      <name val="Arial"/>
      <family val="2"/>
    </font>
    <font>
      <sz val="11"/>
      <color rgb="FF696980"/>
      <name val="Arial"/>
      <family val="2"/>
    </font>
    <font>
      <b/>
      <sz val="11"/>
      <color rgb="FF696999"/>
      <name val="Arial"/>
      <family val="2"/>
    </font>
    <font>
      <b/>
      <sz val="18"/>
      <color rgb="FFFF0000"/>
      <name val="Calibri"/>
      <family val="2"/>
      <scheme val="minor"/>
    </font>
    <font>
      <b/>
      <sz val="11"/>
      <color rgb="FF10213F"/>
      <name val="Arial"/>
      <family val="2"/>
    </font>
    <font>
      <sz val="12"/>
      <color rgb="FF5D6F8D"/>
      <name val="Arial"/>
      <family val="2"/>
    </font>
    <font>
      <b/>
      <u/>
      <sz val="24"/>
      <color rgb="FFFF0000"/>
      <name val="Calibri"/>
      <family val="2"/>
      <scheme val="minor"/>
    </font>
    <font>
      <sz val="9"/>
      <color rgb="FF000000"/>
      <name val="Verdana"/>
      <family val="2"/>
    </font>
    <font>
      <b/>
      <sz val="1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topLeftCell="A46" workbookViewId="0">
      <selection activeCell="F55" sqref="F55"/>
    </sheetView>
  </sheetViews>
  <sheetFormatPr defaultRowHeight="15"/>
  <sheetData>
    <row r="1" spans="1:15" ht="31.5">
      <c r="A1" s="7" t="s">
        <v>32</v>
      </c>
    </row>
    <row r="2" spans="1:15" ht="23.25">
      <c r="A2" s="4" t="s">
        <v>0</v>
      </c>
      <c r="I2" s="4" t="s">
        <v>16</v>
      </c>
      <c r="J2" s="2"/>
      <c r="K2" s="2"/>
      <c r="L2" s="2"/>
      <c r="M2" s="2"/>
      <c r="N2" s="2"/>
      <c r="O2" s="2"/>
    </row>
    <row r="3" spans="1:15">
      <c r="A3" s="1" t="s">
        <v>2</v>
      </c>
      <c r="I3" s="1" t="s">
        <v>2</v>
      </c>
      <c r="J3" s="2"/>
      <c r="K3" s="2"/>
      <c r="L3" s="2"/>
      <c r="M3" s="2"/>
      <c r="N3" s="2"/>
      <c r="O3" s="2"/>
    </row>
    <row r="4" spans="1:15">
      <c r="A4" s="3" t="s">
        <v>9</v>
      </c>
      <c r="I4" s="3" t="s">
        <v>9</v>
      </c>
      <c r="J4" s="2"/>
      <c r="K4" s="2"/>
      <c r="L4" s="2"/>
      <c r="M4" s="2"/>
      <c r="N4" s="2"/>
      <c r="O4" s="2"/>
    </row>
    <row r="5" spans="1:15">
      <c r="A5" s="3" t="s">
        <v>10</v>
      </c>
      <c r="I5" s="3" t="s">
        <v>10</v>
      </c>
      <c r="J5" s="2"/>
      <c r="K5" s="2"/>
      <c r="L5" s="2"/>
      <c r="M5" s="2"/>
      <c r="N5" s="2"/>
      <c r="O5" s="2"/>
    </row>
    <row r="6" spans="1:15">
      <c r="I6" s="2"/>
      <c r="J6" s="2"/>
      <c r="K6" s="2"/>
      <c r="L6" s="2"/>
      <c r="M6" s="2"/>
      <c r="N6" s="2"/>
      <c r="O6" s="2"/>
    </row>
    <row r="7" spans="1:15">
      <c r="A7" s="1" t="s">
        <v>3</v>
      </c>
      <c r="I7" s="1" t="s">
        <v>3</v>
      </c>
      <c r="J7" s="2"/>
      <c r="K7" s="2"/>
      <c r="L7" s="2"/>
      <c r="M7" s="2"/>
      <c r="N7" s="2"/>
      <c r="O7" s="2"/>
    </row>
    <row r="8" spans="1:15">
      <c r="A8" s="1" t="s">
        <v>4</v>
      </c>
      <c r="I8" s="1" t="s">
        <v>4</v>
      </c>
      <c r="J8" s="2"/>
      <c r="K8" s="2"/>
      <c r="L8" s="2"/>
      <c r="M8" s="2"/>
      <c r="N8" s="2"/>
      <c r="O8" s="2"/>
    </row>
    <row r="9" spans="1:15">
      <c r="A9" s="1" t="s">
        <v>5</v>
      </c>
      <c r="I9" s="1" t="s">
        <v>5</v>
      </c>
      <c r="J9" s="2"/>
      <c r="K9" s="2"/>
      <c r="L9" s="2"/>
      <c r="M9" s="2"/>
      <c r="N9" s="2"/>
      <c r="O9" s="2"/>
    </row>
    <row r="10" spans="1:15">
      <c r="I10" s="2"/>
      <c r="J10" s="2"/>
      <c r="K10" s="2"/>
      <c r="L10" s="2"/>
      <c r="M10" s="2"/>
      <c r="N10" s="2"/>
      <c r="O10" s="2"/>
    </row>
    <row r="11" spans="1:15">
      <c r="A11" t="s">
        <v>1</v>
      </c>
      <c r="I11" s="2" t="s">
        <v>12</v>
      </c>
      <c r="J11" s="2"/>
      <c r="K11" s="2"/>
      <c r="L11" s="2"/>
      <c r="M11" s="2"/>
      <c r="N11" s="2"/>
      <c r="O11" s="2"/>
    </row>
    <row r="12" spans="1:15">
      <c r="D12" s="2" t="s">
        <v>89</v>
      </c>
      <c r="I12" s="2"/>
      <c r="J12" s="2"/>
      <c r="K12" s="2"/>
      <c r="L12" s="2"/>
      <c r="M12" s="2"/>
      <c r="N12" s="2"/>
      <c r="O12" s="2"/>
    </row>
    <row r="13" spans="1:15">
      <c r="A13" t="s">
        <v>6</v>
      </c>
      <c r="B13">
        <v>240</v>
      </c>
      <c r="D13">
        <v>260</v>
      </c>
      <c r="I13" s="2" t="s">
        <v>6</v>
      </c>
      <c r="J13" s="2">
        <v>210</v>
      </c>
      <c r="K13" s="2"/>
      <c r="L13" s="2"/>
      <c r="M13" s="2"/>
      <c r="N13" s="2"/>
      <c r="O13" s="2"/>
    </row>
    <row r="14" spans="1:15">
      <c r="A14" t="s">
        <v>7</v>
      </c>
      <c r="I14" s="2" t="s">
        <v>7</v>
      </c>
      <c r="J14" s="2"/>
      <c r="K14" s="2"/>
      <c r="L14" s="2"/>
      <c r="M14" s="2"/>
      <c r="N14" s="2"/>
      <c r="O14" s="2"/>
    </row>
    <row r="15" spans="1:15">
      <c r="B15">
        <f>SUM(B13:B14)</f>
        <v>240</v>
      </c>
      <c r="I15" s="2"/>
      <c r="J15" s="2">
        <f>SUM(J13:J14)</f>
        <v>210</v>
      </c>
      <c r="K15" s="2"/>
      <c r="L15" s="2"/>
      <c r="M15" s="2"/>
      <c r="N15" s="2"/>
      <c r="O15" s="2"/>
    </row>
    <row r="16" spans="1:15">
      <c r="A16" t="s">
        <v>8</v>
      </c>
      <c r="B16">
        <f>+B15*18%</f>
        <v>43.199999999999996</v>
      </c>
      <c r="I16" s="2" t="s">
        <v>8</v>
      </c>
      <c r="J16" s="2">
        <f>+J15*18%</f>
        <v>37.799999999999997</v>
      </c>
      <c r="K16" s="2"/>
      <c r="L16" s="2"/>
      <c r="M16" s="2"/>
      <c r="N16" s="2"/>
      <c r="O16" s="2"/>
    </row>
    <row r="17" spans="1:15">
      <c r="B17">
        <f>SUM(B15:B16)</f>
        <v>283.2</v>
      </c>
      <c r="I17" s="2"/>
      <c r="J17" s="2">
        <f>SUM(J15:J16)</f>
        <v>247.8</v>
      </c>
      <c r="K17" s="2"/>
      <c r="L17" s="2"/>
      <c r="M17" s="2"/>
      <c r="N17" s="2"/>
      <c r="O17" s="2"/>
    </row>
    <row r="18" spans="1:15">
      <c r="A18" s="5" t="s">
        <v>14</v>
      </c>
      <c r="I18" s="5" t="s">
        <v>14</v>
      </c>
      <c r="J18" s="2"/>
      <c r="K18" s="2"/>
      <c r="L18" s="2"/>
      <c r="M18" s="2"/>
      <c r="N18" s="2"/>
      <c r="O18" s="2"/>
    </row>
    <row r="19" spans="1:15">
      <c r="K19" s="2"/>
      <c r="L19" s="2"/>
      <c r="M19" s="2"/>
      <c r="N19" s="2"/>
      <c r="O19" s="2"/>
    </row>
    <row r="20" spans="1:15" ht="23.25">
      <c r="A20" s="4" t="s">
        <v>11</v>
      </c>
      <c r="B20" s="2"/>
      <c r="C20" s="2"/>
      <c r="D20" s="2"/>
      <c r="E20" s="2"/>
      <c r="F20" s="2"/>
      <c r="G20" s="2"/>
      <c r="I20" s="4" t="s">
        <v>17</v>
      </c>
      <c r="J20" s="2"/>
      <c r="K20" s="2"/>
      <c r="L20" s="2"/>
      <c r="M20" s="2"/>
      <c r="N20" s="2"/>
      <c r="O20" s="2"/>
    </row>
    <row r="21" spans="1:15">
      <c r="A21" s="1" t="s">
        <v>2</v>
      </c>
      <c r="B21" s="2"/>
      <c r="C21" s="2"/>
      <c r="D21" s="2"/>
      <c r="E21" s="2"/>
      <c r="F21" s="2"/>
      <c r="G21" s="2"/>
      <c r="I21" s="1" t="s">
        <v>2</v>
      </c>
      <c r="J21" s="2"/>
      <c r="K21" s="2"/>
      <c r="L21" s="2"/>
      <c r="M21" s="2"/>
      <c r="N21" s="2"/>
      <c r="O21" s="2"/>
    </row>
    <row r="22" spans="1:15">
      <c r="A22" s="3" t="s">
        <v>9</v>
      </c>
      <c r="B22" s="2"/>
      <c r="C22" s="2"/>
      <c r="D22" s="2"/>
      <c r="E22" s="2"/>
      <c r="F22" s="2"/>
      <c r="G22" s="2"/>
      <c r="I22" s="3" t="s">
        <v>9</v>
      </c>
      <c r="J22" s="2"/>
      <c r="K22" s="2"/>
      <c r="L22" s="2"/>
      <c r="M22" s="2"/>
      <c r="N22" s="2"/>
      <c r="O22" s="2"/>
    </row>
    <row r="23" spans="1:15">
      <c r="A23" s="3" t="s">
        <v>10</v>
      </c>
      <c r="B23" s="2"/>
      <c r="C23" s="2"/>
      <c r="D23" s="2"/>
      <c r="E23" s="2"/>
      <c r="F23" s="2"/>
      <c r="G23" s="2"/>
      <c r="I23" s="3" t="s">
        <v>10</v>
      </c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I24" s="2"/>
      <c r="J24" s="2"/>
      <c r="K24" s="2"/>
      <c r="L24" s="2"/>
      <c r="M24" s="2"/>
      <c r="N24" s="2"/>
      <c r="O24" s="2"/>
    </row>
    <row r="25" spans="1:15">
      <c r="A25" s="1" t="s">
        <v>3</v>
      </c>
      <c r="B25" s="2"/>
      <c r="C25" s="2"/>
      <c r="D25" s="2"/>
      <c r="E25" s="2"/>
      <c r="F25" s="2"/>
      <c r="G25" s="2"/>
      <c r="I25" s="1" t="s">
        <v>3</v>
      </c>
      <c r="J25" s="2"/>
      <c r="K25" s="2"/>
      <c r="L25" s="2"/>
      <c r="M25" s="2"/>
      <c r="N25" s="2"/>
      <c r="O25" s="2"/>
    </row>
    <row r="26" spans="1:15">
      <c r="A26" s="1" t="s">
        <v>4</v>
      </c>
      <c r="B26" s="2"/>
      <c r="C26" s="2"/>
      <c r="D26" s="2"/>
      <c r="E26" s="2"/>
      <c r="F26" s="2"/>
      <c r="G26" s="2"/>
      <c r="I26" s="1" t="s">
        <v>4</v>
      </c>
      <c r="J26" s="2"/>
      <c r="K26" s="2"/>
      <c r="L26" s="2"/>
      <c r="M26" s="2"/>
      <c r="N26" s="2"/>
      <c r="O26" s="2"/>
    </row>
    <row r="27" spans="1:15">
      <c r="A27" s="1" t="s">
        <v>5</v>
      </c>
      <c r="B27" s="2"/>
      <c r="C27" s="2"/>
      <c r="D27" s="2"/>
      <c r="E27" s="2"/>
      <c r="F27" s="2"/>
      <c r="G27" s="2"/>
      <c r="I27" s="1" t="s">
        <v>5</v>
      </c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I28" s="2"/>
      <c r="J28" s="2"/>
      <c r="K28" s="2"/>
      <c r="L28" s="2"/>
      <c r="M28" s="2"/>
      <c r="N28" s="2"/>
      <c r="O28" s="2"/>
    </row>
    <row r="29" spans="1:15">
      <c r="A29" s="2" t="s">
        <v>12</v>
      </c>
      <c r="B29" s="2"/>
      <c r="C29" s="2"/>
      <c r="D29" s="2"/>
      <c r="E29" s="2"/>
      <c r="F29" s="2"/>
      <c r="G29" s="2"/>
      <c r="I29" s="2" t="s">
        <v>12</v>
      </c>
      <c r="J29" s="2"/>
      <c r="K29" s="2"/>
      <c r="L29" s="2"/>
      <c r="M29" s="2"/>
      <c r="N29" s="2"/>
      <c r="O29" s="2"/>
    </row>
    <row r="30" spans="1:15">
      <c r="A30" s="2" t="s">
        <v>13</v>
      </c>
      <c r="B30" s="2"/>
      <c r="C30" s="2"/>
      <c r="D30" s="2"/>
      <c r="E30" s="2"/>
      <c r="F30" s="2"/>
      <c r="G30" s="2"/>
      <c r="I30" s="2" t="s">
        <v>13</v>
      </c>
      <c r="J30" s="2"/>
      <c r="K30" s="2"/>
      <c r="L30" s="2"/>
      <c r="M30" s="2"/>
      <c r="N30" s="2"/>
      <c r="O30" s="2"/>
    </row>
    <row r="31" spans="1:15">
      <c r="C31" s="2"/>
      <c r="D31" s="2" t="s">
        <v>89</v>
      </c>
      <c r="E31" s="2"/>
      <c r="F31" s="2"/>
      <c r="G31" s="2"/>
      <c r="I31" s="2"/>
      <c r="J31" s="2"/>
      <c r="K31" s="2"/>
      <c r="L31" s="2"/>
      <c r="M31" s="2"/>
      <c r="N31" s="2"/>
      <c r="O31" s="2"/>
    </row>
    <row r="32" spans="1:15">
      <c r="A32" s="2" t="s">
        <v>6</v>
      </c>
      <c r="B32" s="2">
        <v>280</v>
      </c>
      <c r="C32" s="2"/>
      <c r="D32" s="2">
        <v>310</v>
      </c>
      <c r="E32" s="2"/>
      <c r="F32" s="2"/>
      <c r="G32" s="2"/>
      <c r="I32" s="2" t="s">
        <v>6</v>
      </c>
      <c r="J32" s="2">
        <v>300</v>
      </c>
      <c r="K32" s="2"/>
      <c r="L32" s="2"/>
      <c r="M32" s="2"/>
      <c r="N32" s="2"/>
      <c r="O32" s="2"/>
    </row>
    <row r="33" spans="1:15">
      <c r="A33" s="2" t="s">
        <v>7</v>
      </c>
      <c r="B33" s="2"/>
      <c r="C33" s="2"/>
      <c r="D33" s="2"/>
      <c r="E33" s="2"/>
      <c r="F33" s="2"/>
      <c r="G33" s="2"/>
      <c r="I33" s="2" t="s">
        <v>7</v>
      </c>
      <c r="J33" s="2"/>
      <c r="K33" s="2"/>
      <c r="L33" s="2"/>
      <c r="M33" s="2"/>
      <c r="N33" s="2"/>
      <c r="O33" s="2"/>
    </row>
    <row r="34" spans="1:15">
      <c r="A34" s="2"/>
      <c r="B34" s="2">
        <f>SUM(B32:B33)</f>
        <v>280</v>
      </c>
      <c r="C34" s="2"/>
      <c r="D34" s="2"/>
      <c r="E34" s="2"/>
      <c r="F34" s="2"/>
      <c r="G34" s="2"/>
      <c r="I34" s="2"/>
      <c r="J34" s="2">
        <f>SUM(J32:J33)</f>
        <v>300</v>
      </c>
      <c r="K34" s="2"/>
      <c r="L34" s="2"/>
      <c r="M34" s="2"/>
      <c r="N34" s="2"/>
      <c r="O34" s="2"/>
    </row>
    <row r="35" spans="1:15">
      <c r="A35" s="2" t="s">
        <v>8</v>
      </c>
      <c r="B35" s="2">
        <f>+B34*18%</f>
        <v>50.4</v>
      </c>
      <c r="C35" s="2"/>
      <c r="D35" s="2"/>
      <c r="E35" s="2"/>
      <c r="F35" s="2"/>
      <c r="G35" s="2"/>
      <c r="I35" s="2" t="s">
        <v>8</v>
      </c>
      <c r="J35" s="2">
        <f>+J34*18%</f>
        <v>54</v>
      </c>
      <c r="K35" s="2"/>
      <c r="L35" s="2"/>
      <c r="M35" s="2"/>
      <c r="N35" s="2"/>
      <c r="O35" s="2"/>
    </row>
    <row r="36" spans="1:15">
      <c r="A36" s="2"/>
      <c r="B36" s="2">
        <f>SUM(B34:B35)</f>
        <v>330.4</v>
      </c>
      <c r="I36" s="2"/>
      <c r="J36" s="2">
        <f>SUM(J34:J35)</f>
        <v>354</v>
      </c>
      <c r="K36" s="2"/>
      <c r="L36" s="2"/>
      <c r="M36" s="2"/>
      <c r="N36" s="2"/>
      <c r="O36" s="2"/>
    </row>
    <row r="37" spans="1:15">
      <c r="A37" s="5" t="s">
        <v>15</v>
      </c>
      <c r="I37" s="5" t="s">
        <v>15</v>
      </c>
      <c r="J37" s="2"/>
      <c r="K37" s="2"/>
      <c r="L37" s="2"/>
      <c r="M37" s="2"/>
      <c r="N37" s="2"/>
      <c r="O37" s="2"/>
    </row>
    <row r="40" spans="1:15" ht="23.25">
      <c r="A40" s="4" t="s">
        <v>21</v>
      </c>
      <c r="B40" s="2"/>
      <c r="C40" s="2"/>
      <c r="D40" s="2"/>
      <c r="E40" s="2"/>
      <c r="F40" s="2"/>
      <c r="G40" s="2"/>
      <c r="I40" s="4" t="s">
        <v>18</v>
      </c>
      <c r="J40" s="2"/>
      <c r="K40" s="2"/>
      <c r="L40" s="2"/>
      <c r="M40" s="2"/>
      <c r="N40" s="2"/>
      <c r="O40" s="2"/>
    </row>
    <row r="41" spans="1:15" ht="15.75">
      <c r="A41" s="1" t="s">
        <v>2</v>
      </c>
      <c r="B41" s="2"/>
      <c r="C41" s="2"/>
      <c r="D41" s="2"/>
      <c r="E41" s="2"/>
      <c r="F41" s="2"/>
      <c r="G41" s="2"/>
      <c r="I41" s="6" t="s">
        <v>19</v>
      </c>
    </row>
    <row r="42" spans="1:15">
      <c r="A42" s="3" t="s">
        <v>20</v>
      </c>
      <c r="B42" s="2"/>
      <c r="C42" s="2"/>
      <c r="D42" s="2"/>
      <c r="E42" s="2"/>
      <c r="F42" s="2"/>
      <c r="G42" s="2"/>
      <c r="I42" s="1" t="s">
        <v>2</v>
      </c>
      <c r="J42" s="2"/>
      <c r="K42" s="2"/>
      <c r="L42" s="2"/>
      <c r="M42" s="2"/>
      <c r="N42" s="2"/>
      <c r="O42" s="2"/>
    </row>
    <row r="43" spans="1:15">
      <c r="A43" s="3" t="s">
        <v>10</v>
      </c>
      <c r="B43" s="2"/>
      <c r="C43" s="2"/>
      <c r="D43" s="2"/>
      <c r="E43" s="2"/>
      <c r="F43" s="2"/>
      <c r="G43" s="2"/>
      <c r="I43" s="3" t="s">
        <v>9</v>
      </c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I44" s="3" t="s">
        <v>10</v>
      </c>
      <c r="J44" s="2"/>
      <c r="K44" s="2"/>
      <c r="L44" s="2"/>
      <c r="M44" s="2"/>
      <c r="N44" s="2"/>
      <c r="O44" s="2"/>
    </row>
    <row r="45" spans="1:15">
      <c r="A45" s="1" t="s">
        <v>22</v>
      </c>
      <c r="B45" s="2"/>
      <c r="C45" s="2"/>
      <c r="D45" s="2"/>
      <c r="E45" s="2"/>
      <c r="F45" s="2"/>
      <c r="G45" s="2"/>
      <c r="I45" s="2"/>
      <c r="J45" s="2"/>
      <c r="K45" s="2"/>
      <c r="L45" s="2"/>
      <c r="M45" s="2"/>
      <c r="N45" s="2"/>
      <c r="O45" s="2"/>
    </row>
    <row r="46" spans="1:15">
      <c r="A46" s="1" t="s">
        <v>4</v>
      </c>
      <c r="B46" s="2"/>
      <c r="C46" s="2"/>
      <c r="D46" s="2"/>
      <c r="E46" s="2"/>
      <c r="F46" s="2"/>
      <c r="G46" s="2"/>
      <c r="I46" s="1" t="s">
        <v>3</v>
      </c>
      <c r="J46" s="2"/>
      <c r="K46" s="2"/>
      <c r="L46" s="2"/>
      <c r="M46" s="2"/>
      <c r="N46" s="2"/>
      <c r="O46" s="2"/>
    </row>
    <row r="47" spans="1:15">
      <c r="A47" s="1" t="s">
        <v>5</v>
      </c>
      <c r="B47" s="2"/>
      <c r="C47" s="2"/>
      <c r="D47" s="2"/>
      <c r="E47" s="2"/>
      <c r="F47" s="2"/>
      <c r="G47" s="2"/>
      <c r="I47" s="1" t="s">
        <v>4</v>
      </c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I48" s="1" t="s">
        <v>5</v>
      </c>
      <c r="J48" s="2"/>
      <c r="K48" s="2"/>
      <c r="L48" s="2"/>
      <c r="M48" s="2"/>
      <c r="N48" s="2"/>
      <c r="O48" s="2"/>
    </row>
    <row r="49" spans="1:15">
      <c r="A49" s="2" t="s">
        <v>12</v>
      </c>
      <c r="B49" s="2"/>
      <c r="C49" s="2"/>
      <c r="D49" s="2"/>
      <c r="E49" s="2"/>
      <c r="F49" s="2"/>
      <c r="G49" s="2"/>
      <c r="I49" s="2"/>
      <c r="J49" s="2"/>
      <c r="K49" s="2"/>
      <c r="L49" s="2"/>
      <c r="M49" s="2"/>
      <c r="N49" s="2"/>
      <c r="O49" s="2"/>
    </row>
    <row r="50" spans="1:15">
      <c r="A50" s="2" t="s">
        <v>13</v>
      </c>
      <c r="B50" s="2"/>
      <c r="C50" s="2"/>
      <c r="D50" s="2"/>
      <c r="E50" s="2"/>
      <c r="F50" s="2"/>
      <c r="G50" s="2"/>
      <c r="I50" s="2" t="s">
        <v>12</v>
      </c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I51" s="2" t="s">
        <v>13</v>
      </c>
      <c r="J51" s="2"/>
      <c r="K51" s="2"/>
      <c r="L51" s="2"/>
      <c r="M51" s="2"/>
      <c r="N51" s="2"/>
      <c r="O51" s="2"/>
    </row>
    <row r="52" spans="1:15">
      <c r="A52" s="2" t="s">
        <v>6</v>
      </c>
      <c r="B52" s="2">
        <v>480</v>
      </c>
      <c r="C52" s="2"/>
      <c r="D52" s="2"/>
      <c r="E52" s="2"/>
      <c r="F52" s="2"/>
      <c r="G52" s="2"/>
      <c r="I52" s="2"/>
      <c r="J52" s="2"/>
      <c r="K52" s="2"/>
      <c r="L52" s="2"/>
      <c r="M52" s="2"/>
      <c r="N52" s="2"/>
      <c r="O52" s="2"/>
    </row>
    <row r="53" spans="1:15">
      <c r="A53" s="2" t="s">
        <v>24</v>
      </c>
      <c r="B53">
        <v>300</v>
      </c>
      <c r="C53" s="2" t="s">
        <v>25</v>
      </c>
      <c r="D53" s="2"/>
      <c r="E53" s="2"/>
      <c r="F53" s="2"/>
      <c r="G53" s="2"/>
      <c r="I53" s="2" t="s">
        <v>6</v>
      </c>
      <c r="J53" s="2">
        <v>320</v>
      </c>
      <c r="K53" s="2"/>
      <c r="L53" s="2"/>
      <c r="M53" s="2"/>
      <c r="N53" s="2"/>
      <c r="O53" s="2"/>
    </row>
    <row r="54" spans="1:15">
      <c r="A54" s="2" t="s">
        <v>7</v>
      </c>
      <c r="B54" s="2"/>
      <c r="C54" s="2"/>
      <c r="D54" s="2"/>
      <c r="E54" s="2"/>
      <c r="F54" s="2"/>
      <c r="G54" s="2"/>
      <c r="I54" s="2" t="s">
        <v>7</v>
      </c>
      <c r="J54" s="2"/>
      <c r="K54" s="2"/>
      <c r="L54" s="2"/>
      <c r="M54" s="2"/>
      <c r="N54" s="2"/>
      <c r="O54" s="2"/>
    </row>
    <row r="55" spans="1:15">
      <c r="A55" s="2"/>
      <c r="B55" s="2">
        <f>SUM(B52:B54)</f>
        <v>780</v>
      </c>
      <c r="C55" s="2"/>
      <c r="D55" s="2"/>
      <c r="E55" s="2"/>
      <c r="F55" s="2"/>
      <c r="G55" s="2"/>
      <c r="I55" s="2"/>
      <c r="J55" s="2">
        <f>SUM(J53:J54)</f>
        <v>320</v>
      </c>
      <c r="K55" s="2"/>
      <c r="L55" s="2"/>
      <c r="M55" s="2"/>
      <c r="N55" s="2"/>
      <c r="O55" s="2"/>
    </row>
    <row r="56" spans="1:15">
      <c r="A56" s="2" t="s">
        <v>8</v>
      </c>
      <c r="B56" s="2">
        <f>+B55*18%</f>
        <v>140.4</v>
      </c>
      <c r="C56" s="2"/>
      <c r="D56" s="2"/>
      <c r="E56" s="2"/>
      <c r="F56" s="2"/>
      <c r="G56" s="2"/>
      <c r="I56" s="2" t="s">
        <v>8</v>
      </c>
      <c r="J56" s="2">
        <f>+J55*18%</f>
        <v>57.599999999999994</v>
      </c>
      <c r="K56" s="2"/>
      <c r="L56" s="2"/>
      <c r="M56" s="2"/>
      <c r="N56" s="2"/>
      <c r="O56" s="2"/>
    </row>
    <row r="57" spans="1:15">
      <c r="A57" s="2"/>
      <c r="B57" s="2">
        <f>SUM(B55:B56)</f>
        <v>920.4</v>
      </c>
      <c r="C57" s="2"/>
      <c r="D57" s="2"/>
      <c r="E57" s="2"/>
      <c r="F57" s="2"/>
      <c r="G57" s="2"/>
      <c r="I57" s="2"/>
      <c r="J57" s="2">
        <f>SUM(J55:J56)</f>
        <v>377.6</v>
      </c>
      <c r="K57" s="2"/>
      <c r="L57" s="2"/>
      <c r="M57" s="2"/>
      <c r="N57" s="2"/>
      <c r="O57" s="2"/>
    </row>
    <row r="58" spans="1:15">
      <c r="A58" s="5" t="s">
        <v>23</v>
      </c>
      <c r="B58" s="2"/>
      <c r="I58" s="5" t="s">
        <v>15</v>
      </c>
      <c r="J58" s="2"/>
      <c r="K58" s="2"/>
      <c r="L58" s="2"/>
      <c r="M58" s="2"/>
      <c r="N58" s="2"/>
      <c r="O58" s="2"/>
    </row>
    <row r="61" spans="1:15" ht="23.25">
      <c r="A61" s="4" t="s">
        <v>26</v>
      </c>
      <c r="B61" s="2"/>
      <c r="C61" s="2"/>
      <c r="D61" s="2"/>
      <c r="E61" s="2"/>
      <c r="F61" s="2"/>
      <c r="G61" s="2"/>
      <c r="I61" s="4" t="s">
        <v>27</v>
      </c>
      <c r="J61" s="2"/>
      <c r="K61" s="2"/>
      <c r="L61" s="2"/>
      <c r="M61" s="2"/>
      <c r="N61" s="2"/>
      <c r="O61" s="2"/>
    </row>
    <row r="62" spans="1:15">
      <c r="A62" s="1" t="s">
        <v>2</v>
      </c>
      <c r="B62" s="2"/>
      <c r="C62" s="2"/>
      <c r="D62" s="2"/>
      <c r="E62" s="2"/>
      <c r="F62" s="2"/>
      <c r="G62" s="2"/>
      <c r="I62" s="1" t="s">
        <v>2</v>
      </c>
      <c r="J62" s="2"/>
      <c r="K62" s="2"/>
      <c r="L62" s="2"/>
      <c r="M62" s="2"/>
      <c r="N62" s="2"/>
      <c r="O62" s="2"/>
    </row>
    <row r="63" spans="1:15">
      <c r="A63" s="3" t="s">
        <v>20</v>
      </c>
      <c r="B63" s="2"/>
      <c r="C63" s="2"/>
      <c r="D63" s="2"/>
      <c r="E63" s="2"/>
      <c r="F63" s="2"/>
      <c r="G63" s="2"/>
      <c r="I63" s="3" t="s">
        <v>20</v>
      </c>
      <c r="J63" s="2"/>
      <c r="K63" s="2"/>
      <c r="L63" s="2"/>
      <c r="M63" s="2"/>
      <c r="N63" s="2"/>
      <c r="O63" s="2"/>
    </row>
    <row r="64" spans="1:15">
      <c r="A64" s="3" t="s">
        <v>10</v>
      </c>
      <c r="B64" s="2"/>
      <c r="C64" s="2"/>
      <c r="D64" s="2"/>
      <c r="E64" s="2"/>
      <c r="F64" s="2"/>
      <c r="G64" s="2"/>
      <c r="I64" s="3" t="s">
        <v>10</v>
      </c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I65" s="2"/>
      <c r="J65" s="2"/>
      <c r="K65" s="2"/>
      <c r="L65" s="2"/>
      <c r="M65" s="2"/>
      <c r="N65" s="2"/>
      <c r="O65" s="2"/>
    </row>
    <row r="66" spans="1:15">
      <c r="A66" s="1" t="s">
        <v>22</v>
      </c>
      <c r="B66" s="2"/>
      <c r="C66" s="2"/>
      <c r="D66" s="2"/>
      <c r="E66" s="2"/>
      <c r="F66" s="2"/>
      <c r="G66" s="2"/>
      <c r="I66" s="1" t="s">
        <v>22</v>
      </c>
      <c r="J66" s="2"/>
      <c r="K66" s="2"/>
      <c r="L66" s="2"/>
      <c r="M66" s="2"/>
      <c r="N66" s="2"/>
      <c r="O66" s="2"/>
    </row>
    <row r="67" spans="1:15">
      <c r="A67" s="1" t="s">
        <v>4</v>
      </c>
      <c r="B67" s="2"/>
      <c r="C67" s="2"/>
      <c r="D67" s="2"/>
      <c r="E67" s="2"/>
      <c r="F67" s="2"/>
      <c r="G67" s="2"/>
      <c r="I67" s="1" t="s">
        <v>4</v>
      </c>
      <c r="J67" s="2"/>
      <c r="K67" s="2"/>
      <c r="L67" s="2"/>
      <c r="M67" s="2"/>
      <c r="N67" s="2"/>
      <c r="O67" s="2"/>
    </row>
    <row r="68" spans="1:15">
      <c r="A68" s="1" t="s">
        <v>5</v>
      </c>
      <c r="B68" s="2"/>
      <c r="C68" s="2"/>
      <c r="D68" s="2"/>
      <c r="E68" s="2"/>
      <c r="F68" s="2"/>
      <c r="G68" s="2"/>
      <c r="I68" s="1" t="s">
        <v>5</v>
      </c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I69" s="2"/>
      <c r="J69" s="2"/>
      <c r="K69" s="2"/>
      <c r="L69" s="2"/>
      <c r="M69" s="2"/>
      <c r="N69" s="2"/>
      <c r="O69" s="2"/>
    </row>
    <row r="70" spans="1:15">
      <c r="A70" s="2" t="s">
        <v>12</v>
      </c>
      <c r="B70" s="2"/>
      <c r="C70" s="2"/>
      <c r="D70" s="2"/>
      <c r="E70" s="2"/>
      <c r="F70" s="2"/>
      <c r="G70" s="2"/>
      <c r="I70" s="2" t="s">
        <v>12</v>
      </c>
      <c r="J70" s="2"/>
      <c r="K70" s="2"/>
      <c r="L70" s="2"/>
      <c r="M70" s="2"/>
      <c r="N70" s="2"/>
      <c r="O70" s="2"/>
    </row>
    <row r="71" spans="1:15">
      <c r="A71" s="2" t="s">
        <v>13</v>
      </c>
      <c r="B71" s="2"/>
      <c r="C71" s="2"/>
      <c r="D71" s="2"/>
      <c r="E71" s="2"/>
      <c r="F71" s="2"/>
      <c r="G71" s="2"/>
      <c r="I71" s="2" t="s">
        <v>13</v>
      </c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I72" s="2" t="s">
        <v>28</v>
      </c>
      <c r="J72" s="2"/>
      <c r="K72" s="2"/>
      <c r="L72" s="2"/>
      <c r="M72" s="2"/>
      <c r="N72" s="2"/>
      <c r="O72" s="2"/>
    </row>
    <row r="73" spans="1:15">
      <c r="A73" s="2" t="s">
        <v>6</v>
      </c>
      <c r="B73" s="2">
        <v>700</v>
      </c>
      <c r="C73" s="2"/>
      <c r="D73" s="2"/>
      <c r="E73" s="2"/>
      <c r="F73" s="2"/>
      <c r="G73" s="2"/>
      <c r="I73" s="2"/>
      <c r="J73" s="2"/>
      <c r="K73" s="2"/>
      <c r="L73" s="2"/>
      <c r="M73" s="2"/>
      <c r="N73" s="2"/>
      <c r="O73" s="2"/>
    </row>
    <row r="74" spans="1:15">
      <c r="A74" s="2" t="s">
        <v>7</v>
      </c>
      <c r="B74" s="2"/>
      <c r="C74" s="2"/>
      <c r="D74" s="2"/>
      <c r="E74" s="2"/>
      <c r="F74" s="2"/>
      <c r="G74" s="2"/>
      <c r="I74" s="2" t="s">
        <v>6</v>
      </c>
      <c r="J74" s="2">
        <v>570</v>
      </c>
      <c r="K74" s="2"/>
      <c r="L74" s="2"/>
      <c r="M74" s="2"/>
      <c r="N74" s="2"/>
      <c r="O74" s="2"/>
    </row>
    <row r="75" spans="1:15">
      <c r="A75" s="2"/>
      <c r="B75" s="2">
        <f>SUM(B73:B74)</f>
        <v>700</v>
      </c>
      <c r="C75" s="2"/>
      <c r="D75" s="2"/>
      <c r="E75" s="2"/>
      <c r="F75" s="2"/>
      <c r="G75" s="2"/>
      <c r="I75" s="2" t="s">
        <v>24</v>
      </c>
      <c r="J75" s="2"/>
      <c r="K75" s="2" t="s">
        <v>25</v>
      </c>
      <c r="L75" s="2"/>
      <c r="M75" s="2"/>
      <c r="N75" s="2"/>
      <c r="O75" s="2"/>
    </row>
    <row r="76" spans="1:15">
      <c r="A76" s="2" t="s">
        <v>8</v>
      </c>
      <c r="B76" s="2">
        <f>+B75*18%</f>
        <v>126</v>
      </c>
      <c r="C76" s="2"/>
      <c r="D76" s="2"/>
      <c r="E76" s="2"/>
      <c r="F76" s="2"/>
      <c r="G76" s="2"/>
      <c r="I76" s="2" t="s">
        <v>7</v>
      </c>
      <c r="J76" s="2"/>
      <c r="K76" s="2"/>
      <c r="L76" s="2"/>
      <c r="M76" s="2"/>
      <c r="N76" s="2"/>
      <c r="O76" s="2"/>
    </row>
    <row r="77" spans="1:15">
      <c r="A77" s="2"/>
      <c r="B77" s="2">
        <f>SUM(B75:B76)</f>
        <v>826</v>
      </c>
      <c r="C77" s="2"/>
      <c r="D77" s="2"/>
      <c r="E77" s="2"/>
      <c r="F77" s="2"/>
      <c r="G77" s="2"/>
      <c r="I77" s="2"/>
      <c r="J77" s="2">
        <f>SUM(J74:J76)</f>
        <v>570</v>
      </c>
      <c r="K77" s="2"/>
      <c r="L77" s="2"/>
      <c r="M77" s="2"/>
      <c r="N77" s="2"/>
      <c r="O77" s="2"/>
    </row>
    <row r="78" spans="1:15">
      <c r="A78" s="5" t="s">
        <v>23</v>
      </c>
      <c r="B78" s="2"/>
      <c r="C78" s="2"/>
      <c r="D78" s="2"/>
      <c r="E78" s="2"/>
      <c r="F78" s="2"/>
      <c r="G78" s="2"/>
      <c r="I78" s="2" t="s">
        <v>8</v>
      </c>
      <c r="J78" s="2">
        <f>+J77*18%</f>
        <v>102.6</v>
      </c>
      <c r="K78" s="2"/>
      <c r="L78" s="2"/>
      <c r="M78" s="2"/>
      <c r="N78" s="2"/>
      <c r="O78" s="2"/>
    </row>
    <row r="79" spans="1:15">
      <c r="C79" s="2"/>
      <c r="D79" s="2"/>
      <c r="E79" s="2"/>
      <c r="F79" s="2"/>
      <c r="G79" s="2"/>
      <c r="I79" s="2"/>
      <c r="J79" s="2">
        <f>SUM(J77:J78)</f>
        <v>672.6</v>
      </c>
      <c r="K79" s="2"/>
      <c r="L79" s="2"/>
      <c r="M79" s="2"/>
      <c r="N79" s="2"/>
      <c r="O79" s="2"/>
    </row>
    <row r="80" spans="1:15">
      <c r="I80" s="5" t="s">
        <v>29</v>
      </c>
      <c r="J80" s="2"/>
      <c r="K80" s="2"/>
    </row>
    <row r="83" spans="9:16" ht="23.25">
      <c r="I83" s="4" t="s">
        <v>30</v>
      </c>
      <c r="J83" s="2"/>
      <c r="K83" s="2"/>
      <c r="L83" s="2"/>
      <c r="M83" s="2"/>
      <c r="N83" s="2"/>
      <c r="O83" s="2"/>
      <c r="P83" s="2"/>
    </row>
    <row r="84" spans="9:16">
      <c r="I84" s="1" t="s">
        <v>2</v>
      </c>
      <c r="J84" s="2"/>
      <c r="K84" s="2"/>
      <c r="L84" s="2"/>
      <c r="M84" s="2"/>
      <c r="N84" s="2"/>
      <c r="O84" s="2"/>
      <c r="P84" s="2"/>
    </row>
    <row r="85" spans="9:16">
      <c r="I85" s="3" t="s">
        <v>20</v>
      </c>
      <c r="J85" s="2"/>
      <c r="K85" s="2"/>
      <c r="L85" s="2"/>
      <c r="M85" s="2"/>
      <c r="N85" s="2"/>
      <c r="O85" s="2"/>
      <c r="P85" s="2"/>
    </row>
    <row r="86" spans="9:16">
      <c r="I86" s="3" t="s">
        <v>10</v>
      </c>
      <c r="J86" s="2"/>
      <c r="K86" s="2"/>
      <c r="L86" s="2"/>
      <c r="M86" s="2"/>
      <c r="N86" s="2"/>
      <c r="O86" s="2"/>
      <c r="P86" s="2"/>
    </row>
    <row r="87" spans="9:16">
      <c r="I87" s="2"/>
      <c r="J87" s="2"/>
      <c r="K87" s="2"/>
      <c r="L87" s="2"/>
      <c r="M87" s="2"/>
      <c r="N87" s="2"/>
      <c r="O87" s="2"/>
      <c r="P87" s="2"/>
    </row>
    <row r="88" spans="9:16">
      <c r="I88" s="1" t="s">
        <v>22</v>
      </c>
      <c r="J88" s="2"/>
      <c r="K88" s="2"/>
      <c r="L88" s="2"/>
      <c r="M88" s="2"/>
      <c r="N88" s="2"/>
      <c r="O88" s="2"/>
      <c r="P88" s="2"/>
    </row>
    <row r="89" spans="9:16">
      <c r="I89" s="1" t="s">
        <v>4</v>
      </c>
      <c r="J89" s="2"/>
      <c r="K89" s="2"/>
      <c r="L89" s="2"/>
      <c r="M89" s="2"/>
      <c r="N89" s="2"/>
      <c r="O89" s="2"/>
      <c r="P89" s="2"/>
    </row>
    <row r="90" spans="9:16">
      <c r="I90" s="1" t="s">
        <v>5</v>
      </c>
      <c r="J90" s="2"/>
      <c r="K90" s="2"/>
      <c r="L90" s="2"/>
      <c r="M90" s="2"/>
      <c r="N90" s="2"/>
      <c r="O90" s="2"/>
      <c r="P90" s="2"/>
    </row>
    <row r="91" spans="9:16">
      <c r="I91" s="2"/>
      <c r="J91" s="2"/>
      <c r="K91" s="2"/>
      <c r="L91" s="2"/>
      <c r="M91" s="2"/>
      <c r="N91" s="2"/>
      <c r="O91" s="2"/>
      <c r="P91" s="2"/>
    </row>
    <row r="92" spans="9:16">
      <c r="I92" s="2" t="s">
        <v>12</v>
      </c>
      <c r="J92" s="2"/>
      <c r="K92" s="2"/>
      <c r="L92" s="2"/>
      <c r="M92" s="2"/>
      <c r="N92" s="2"/>
      <c r="O92" s="2"/>
      <c r="P92" s="2"/>
    </row>
    <row r="93" spans="9:16">
      <c r="I93" s="2" t="s">
        <v>13</v>
      </c>
      <c r="J93" s="2"/>
      <c r="K93" s="2"/>
      <c r="L93" s="2"/>
      <c r="M93" s="2"/>
      <c r="N93" s="2"/>
      <c r="O93" s="2"/>
      <c r="P93" s="2"/>
    </row>
    <row r="94" spans="9:16">
      <c r="I94" s="2" t="s">
        <v>28</v>
      </c>
      <c r="J94" s="2"/>
      <c r="K94" s="2"/>
      <c r="L94" s="2"/>
      <c r="M94" s="2"/>
      <c r="N94" s="2"/>
      <c r="O94" s="2"/>
      <c r="P94" s="2"/>
    </row>
    <row r="95" spans="9:16">
      <c r="I95" s="2" t="s">
        <v>31</v>
      </c>
      <c r="J95" s="2"/>
      <c r="K95" s="2"/>
      <c r="L95" s="2"/>
      <c r="M95" s="2"/>
      <c r="N95" s="2"/>
      <c r="O95" s="2"/>
      <c r="P95" s="2"/>
    </row>
    <row r="96" spans="9:16">
      <c r="L96" s="2"/>
      <c r="M96" s="2"/>
      <c r="N96" s="2"/>
      <c r="O96" s="2"/>
      <c r="P96" s="2"/>
    </row>
    <row r="97" spans="9:16">
      <c r="I97" s="2" t="s">
        <v>6</v>
      </c>
      <c r="J97" s="2">
        <v>670</v>
      </c>
      <c r="K97" s="2"/>
      <c r="L97" s="2"/>
      <c r="M97" s="2"/>
      <c r="N97" s="2"/>
      <c r="O97" s="2"/>
      <c r="P97" s="2"/>
    </row>
    <row r="98" spans="9:16">
      <c r="I98" s="2" t="s">
        <v>24</v>
      </c>
      <c r="J98" s="2"/>
      <c r="K98" s="2" t="s">
        <v>25</v>
      </c>
      <c r="L98" s="2"/>
      <c r="M98" s="2"/>
      <c r="N98" s="2"/>
      <c r="O98" s="2"/>
      <c r="P98" s="2"/>
    </row>
    <row r="99" spans="9:16">
      <c r="I99" s="2" t="s">
        <v>7</v>
      </c>
      <c r="J99" s="2"/>
      <c r="K99" s="2"/>
      <c r="L99" s="2"/>
      <c r="M99" s="2"/>
      <c r="N99" s="2"/>
      <c r="O99" s="2"/>
      <c r="P99" s="2"/>
    </row>
    <row r="100" spans="9:16">
      <c r="I100" s="2"/>
      <c r="J100" s="2">
        <f>SUM(J97:J99)</f>
        <v>670</v>
      </c>
      <c r="K100" s="2"/>
      <c r="L100" s="2"/>
      <c r="M100" s="2"/>
      <c r="N100" s="2"/>
      <c r="O100" s="2"/>
      <c r="P100" s="2"/>
    </row>
    <row r="101" spans="9:16">
      <c r="I101" s="2" t="s">
        <v>8</v>
      </c>
      <c r="J101" s="2">
        <f>+J100*18%</f>
        <v>120.6</v>
      </c>
      <c r="K101" s="2"/>
      <c r="L101" s="2"/>
      <c r="M101" s="2"/>
      <c r="N101" s="2"/>
      <c r="O101" s="2"/>
      <c r="P101" s="2"/>
    </row>
    <row r="102" spans="9:16">
      <c r="I102" s="2"/>
      <c r="J102" s="2">
        <f>SUM(J100:J101)</f>
        <v>790.6</v>
      </c>
      <c r="K102" s="2"/>
      <c r="L102" s="2"/>
      <c r="M102" s="2"/>
      <c r="N102" s="2"/>
      <c r="O102" s="2"/>
      <c r="P102" s="2"/>
    </row>
    <row r="103" spans="9:16">
      <c r="I103" s="5" t="s">
        <v>29</v>
      </c>
      <c r="J103" s="2"/>
      <c r="K103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6"/>
  <sheetViews>
    <sheetView workbookViewId="0">
      <selection activeCell="G3" sqref="G3"/>
    </sheetView>
  </sheetViews>
  <sheetFormatPr defaultRowHeight="15"/>
  <sheetData>
    <row r="1" spans="1:23" ht="31.5">
      <c r="A1" s="7" t="s">
        <v>85</v>
      </c>
    </row>
    <row r="3" spans="1:23" ht="23.25">
      <c r="A3" s="4" t="s">
        <v>36</v>
      </c>
      <c r="B3" s="2"/>
      <c r="C3" s="2"/>
      <c r="D3" s="2"/>
      <c r="E3" s="2"/>
      <c r="F3" s="2"/>
      <c r="G3" s="2"/>
      <c r="I3" s="4" t="s">
        <v>37</v>
      </c>
      <c r="J3" s="2"/>
      <c r="K3" s="2"/>
      <c r="L3" s="2"/>
      <c r="M3" s="2"/>
      <c r="N3" s="2"/>
      <c r="O3" s="2"/>
      <c r="Q3" s="4" t="s">
        <v>38</v>
      </c>
      <c r="R3" s="2"/>
      <c r="S3" s="2"/>
      <c r="T3" s="2"/>
      <c r="U3" s="2"/>
      <c r="V3" s="2"/>
      <c r="W3" s="2"/>
    </row>
    <row r="4" spans="1:23">
      <c r="A4" s="1" t="s">
        <v>2</v>
      </c>
      <c r="B4" s="2"/>
      <c r="C4" s="2"/>
      <c r="D4" s="2"/>
      <c r="E4" s="2"/>
      <c r="F4" s="2"/>
      <c r="G4" s="2"/>
      <c r="I4" s="1" t="s">
        <v>2</v>
      </c>
      <c r="J4" s="2"/>
      <c r="K4" s="2"/>
      <c r="L4" s="2"/>
      <c r="M4" s="2"/>
      <c r="N4" s="2"/>
      <c r="O4" s="2"/>
      <c r="Q4" s="1" t="s">
        <v>2</v>
      </c>
      <c r="R4" s="2"/>
      <c r="S4" s="2"/>
      <c r="T4" s="2"/>
      <c r="U4" s="2"/>
      <c r="V4" s="2"/>
      <c r="W4" s="2"/>
    </row>
    <row r="5" spans="1:23">
      <c r="A5" s="3" t="s">
        <v>33</v>
      </c>
      <c r="B5" s="2"/>
      <c r="C5" s="2"/>
      <c r="D5" s="2"/>
      <c r="E5" s="2"/>
      <c r="F5" s="2"/>
      <c r="G5" s="2"/>
      <c r="I5" s="3" t="s">
        <v>33</v>
      </c>
      <c r="J5" s="2"/>
      <c r="K5" s="2"/>
      <c r="L5" s="2"/>
      <c r="M5" s="2"/>
      <c r="N5" s="2"/>
      <c r="O5" s="2"/>
      <c r="Q5" s="3" t="s">
        <v>33</v>
      </c>
      <c r="R5" s="2"/>
      <c r="S5" s="2"/>
      <c r="T5" s="2"/>
      <c r="U5" s="2"/>
      <c r="V5" s="2"/>
      <c r="W5" s="2"/>
    </row>
    <row r="6" spans="1:23">
      <c r="A6" s="3" t="s">
        <v>10</v>
      </c>
      <c r="B6" s="2"/>
      <c r="C6" s="2"/>
      <c r="D6" s="2"/>
      <c r="E6" s="2"/>
      <c r="F6" s="2"/>
      <c r="G6" s="2"/>
      <c r="I6" s="3" t="s">
        <v>10</v>
      </c>
      <c r="J6" s="2"/>
      <c r="K6" s="2"/>
      <c r="L6" s="2"/>
      <c r="M6" s="2"/>
      <c r="N6" s="2"/>
      <c r="O6" s="2"/>
      <c r="Q6" s="3" t="s">
        <v>10</v>
      </c>
      <c r="R6" s="2"/>
      <c r="S6" s="2"/>
      <c r="T6" s="2"/>
      <c r="U6" s="2"/>
      <c r="V6" s="2"/>
      <c r="W6" s="2"/>
    </row>
    <row r="7" spans="1:23">
      <c r="A7" s="2" t="s">
        <v>34</v>
      </c>
      <c r="B7" s="2"/>
      <c r="C7" s="2"/>
      <c r="D7" s="2"/>
      <c r="E7" s="2"/>
      <c r="F7" s="2"/>
      <c r="G7" s="2"/>
      <c r="I7" s="2" t="s">
        <v>34</v>
      </c>
      <c r="J7" s="2"/>
      <c r="K7" s="2"/>
      <c r="L7" s="2"/>
      <c r="M7" s="2"/>
      <c r="N7" s="2"/>
      <c r="O7" s="2"/>
      <c r="Q7" s="2" t="s">
        <v>34</v>
      </c>
      <c r="R7" s="2"/>
      <c r="S7" s="2"/>
      <c r="T7" s="2"/>
      <c r="U7" s="2"/>
      <c r="V7" s="2"/>
      <c r="W7" s="2"/>
    </row>
    <row r="8" spans="1:23">
      <c r="I8" s="2"/>
      <c r="J8" s="2"/>
      <c r="K8" s="2"/>
      <c r="L8" s="2"/>
      <c r="M8" s="2"/>
      <c r="N8" s="2"/>
      <c r="O8" s="2"/>
      <c r="Q8" s="2"/>
      <c r="R8" s="2"/>
      <c r="S8" s="2"/>
      <c r="T8" s="2"/>
      <c r="U8" s="2"/>
      <c r="V8" s="2"/>
      <c r="W8" s="2"/>
    </row>
    <row r="9" spans="1:23">
      <c r="A9" s="1" t="s">
        <v>3</v>
      </c>
      <c r="B9" s="2"/>
      <c r="C9" s="2"/>
      <c r="D9" s="2"/>
      <c r="E9" s="2"/>
      <c r="F9" s="2"/>
      <c r="G9" s="2"/>
      <c r="I9" s="1" t="s">
        <v>3</v>
      </c>
      <c r="J9" s="2"/>
      <c r="K9" s="2"/>
      <c r="L9" s="2"/>
      <c r="M9" s="2"/>
      <c r="N9" s="2"/>
      <c r="O9" s="2"/>
      <c r="Q9" s="1" t="s">
        <v>3</v>
      </c>
      <c r="R9" s="2"/>
      <c r="S9" s="2"/>
      <c r="T9" s="2"/>
      <c r="U9" s="2"/>
      <c r="V9" s="2"/>
      <c r="W9" s="2"/>
    </row>
    <row r="10" spans="1:23">
      <c r="A10" s="1" t="s">
        <v>4</v>
      </c>
      <c r="B10" s="2"/>
      <c r="C10" s="2"/>
      <c r="D10" s="2"/>
      <c r="E10" s="2"/>
      <c r="F10" s="2"/>
      <c r="G10" s="2"/>
      <c r="I10" s="1" t="s">
        <v>4</v>
      </c>
      <c r="J10" s="2"/>
      <c r="K10" s="2"/>
      <c r="L10" s="2"/>
      <c r="M10" s="2"/>
      <c r="N10" s="2"/>
      <c r="O10" s="2"/>
      <c r="Q10" s="1" t="s">
        <v>4</v>
      </c>
      <c r="R10" s="2"/>
      <c r="S10" s="2"/>
      <c r="T10" s="2"/>
      <c r="U10" s="2"/>
      <c r="V10" s="2"/>
      <c r="W10" s="2"/>
    </row>
    <row r="11" spans="1:23">
      <c r="A11" s="1" t="s">
        <v>5</v>
      </c>
      <c r="B11" s="2"/>
      <c r="C11" s="2"/>
      <c r="D11" s="2"/>
      <c r="E11" s="2"/>
      <c r="F11" s="2"/>
      <c r="G11" s="2"/>
      <c r="I11" s="1" t="s">
        <v>5</v>
      </c>
      <c r="J11" s="2"/>
      <c r="K11" s="2"/>
      <c r="L11" s="2"/>
      <c r="M11" s="2"/>
      <c r="N11" s="2"/>
      <c r="O11" s="2"/>
      <c r="Q11" s="1" t="s">
        <v>5</v>
      </c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2"/>
      <c r="Q12" s="2"/>
      <c r="R12" s="2"/>
      <c r="S12" s="2"/>
      <c r="T12" s="2"/>
      <c r="U12" s="2"/>
      <c r="V12" s="2"/>
      <c r="W12" s="2"/>
    </row>
    <row r="13" spans="1:23">
      <c r="A13" s="2" t="s">
        <v>12</v>
      </c>
      <c r="B13" s="2"/>
      <c r="C13" s="2"/>
      <c r="D13" s="2"/>
      <c r="E13" s="2"/>
      <c r="F13" s="2"/>
      <c r="G13" s="2"/>
      <c r="I13" s="2" t="s">
        <v>12</v>
      </c>
      <c r="J13" s="2"/>
      <c r="K13" s="2"/>
      <c r="L13" s="2"/>
      <c r="M13" s="2"/>
      <c r="N13" s="2"/>
      <c r="O13" s="2"/>
      <c r="Q13" s="2" t="s">
        <v>12</v>
      </c>
      <c r="R13" s="2"/>
      <c r="S13" s="2"/>
      <c r="T13" s="2"/>
      <c r="U13" s="2"/>
      <c r="V13" s="2"/>
      <c r="W13" s="2"/>
    </row>
    <row r="14" spans="1:23">
      <c r="A14" s="2" t="s">
        <v>13</v>
      </c>
      <c r="B14" s="2"/>
      <c r="C14" s="2"/>
      <c r="D14" s="2"/>
      <c r="E14" s="2"/>
      <c r="F14" s="2"/>
      <c r="G14" s="2"/>
      <c r="I14" s="2" t="s">
        <v>13</v>
      </c>
      <c r="J14" s="2"/>
      <c r="K14" s="2"/>
      <c r="L14" s="2"/>
      <c r="M14" s="2"/>
      <c r="N14" s="2"/>
      <c r="O14" s="2"/>
      <c r="Q14" s="2" t="s">
        <v>13</v>
      </c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I15" s="2" t="s">
        <v>28</v>
      </c>
      <c r="J15" s="2"/>
      <c r="K15" s="2"/>
      <c r="L15" s="2"/>
      <c r="M15" s="2"/>
      <c r="N15" s="2"/>
      <c r="O15" s="2"/>
      <c r="Q15" s="2" t="s">
        <v>28</v>
      </c>
      <c r="R15" s="2"/>
      <c r="S15" s="2"/>
      <c r="T15" s="2"/>
      <c r="U15" s="2"/>
      <c r="V15" s="2"/>
      <c r="W15" s="2"/>
    </row>
    <row r="16" spans="1:23">
      <c r="D16" s="2"/>
      <c r="E16" s="2"/>
      <c r="F16" s="2"/>
      <c r="G16" s="2"/>
      <c r="I16" s="2"/>
      <c r="J16" s="2"/>
      <c r="K16" s="2"/>
      <c r="L16" s="2"/>
      <c r="M16" s="2"/>
      <c r="N16" s="2"/>
      <c r="O16" s="2"/>
      <c r="Q16" s="2" t="s">
        <v>31</v>
      </c>
      <c r="R16" s="2"/>
      <c r="S16" s="2"/>
      <c r="T16" s="2"/>
      <c r="U16" s="2"/>
      <c r="V16" s="2"/>
      <c r="W16" s="2"/>
    </row>
    <row r="17" spans="1:23">
      <c r="A17" s="2" t="s">
        <v>6</v>
      </c>
      <c r="B17" s="2">
        <v>746</v>
      </c>
      <c r="D17" s="2"/>
      <c r="E17" s="2"/>
      <c r="F17" s="2"/>
      <c r="G17" s="2"/>
      <c r="I17" s="2" t="s">
        <v>6</v>
      </c>
      <c r="J17" s="2">
        <v>848</v>
      </c>
      <c r="K17" s="2"/>
      <c r="L17" s="2"/>
      <c r="M17" s="2"/>
      <c r="N17" s="2"/>
      <c r="O17" s="2"/>
      <c r="Q17" s="2" t="s">
        <v>6</v>
      </c>
      <c r="R17" s="2">
        <v>932</v>
      </c>
      <c r="S17" s="2"/>
      <c r="T17" s="2"/>
      <c r="U17" s="2"/>
      <c r="V17" s="2"/>
      <c r="W17" s="2"/>
    </row>
    <row r="18" spans="1:23">
      <c r="A18" s="2" t="s">
        <v>7</v>
      </c>
      <c r="B18" s="2"/>
      <c r="C18" s="2"/>
      <c r="D18" s="2"/>
      <c r="E18" s="2"/>
      <c r="F18" s="2"/>
      <c r="G18" s="2"/>
      <c r="I18" s="2" t="s">
        <v>7</v>
      </c>
      <c r="J18" s="2"/>
      <c r="K18" s="2"/>
      <c r="L18" s="2"/>
      <c r="M18" s="2"/>
      <c r="N18" s="2"/>
      <c r="O18" s="2"/>
      <c r="Q18" s="2" t="s">
        <v>7</v>
      </c>
      <c r="R18" s="2"/>
      <c r="S18" s="2"/>
      <c r="T18" s="2"/>
      <c r="U18" s="2"/>
      <c r="V18" s="2"/>
      <c r="W18" s="2"/>
    </row>
    <row r="19" spans="1:23">
      <c r="A19" s="2"/>
      <c r="B19" s="2">
        <f>SUM(B17:B18)</f>
        <v>746</v>
      </c>
      <c r="C19" s="2"/>
      <c r="D19" s="2"/>
      <c r="E19" s="2"/>
      <c r="F19" s="2"/>
      <c r="G19" s="2"/>
      <c r="I19" s="2"/>
      <c r="J19" s="2">
        <f>SUM(J17:J18)</f>
        <v>848</v>
      </c>
      <c r="K19" s="2"/>
      <c r="L19" s="2"/>
      <c r="M19" s="2"/>
      <c r="N19" s="2"/>
      <c r="O19" s="2"/>
      <c r="Q19" s="2"/>
      <c r="R19" s="2">
        <f>SUM(R17:R18)</f>
        <v>932</v>
      </c>
      <c r="S19" s="2"/>
      <c r="T19" s="2"/>
      <c r="U19" s="2"/>
      <c r="V19" s="2"/>
      <c r="W19" s="2"/>
    </row>
    <row r="20" spans="1:23">
      <c r="A20" s="2" t="s">
        <v>8</v>
      </c>
      <c r="B20" s="2">
        <f>+B19*18%</f>
        <v>134.28</v>
      </c>
      <c r="C20" s="2"/>
      <c r="D20" s="2"/>
      <c r="E20" s="2"/>
      <c r="F20" s="2"/>
      <c r="G20" s="2"/>
      <c r="I20" s="2" t="s">
        <v>8</v>
      </c>
      <c r="J20" s="2">
        <f>+J19*18%</f>
        <v>152.63999999999999</v>
      </c>
      <c r="K20" s="2"/>
      <c r="L20" s="2"/>
      <c r="M20" s="2"/>
      <c r="N20" s="2"/>
      <c r="O20" s="2"/>
      <c r="Q20" s="2" t="s">
        <v>8</v>
      </c>
      <c r="R20" s="2">
        <f>+R19*18%</f>
        <v>167.76</v>
      </c>
      <c r="S20" s="2"/>
      <c r="T20" s="2"/>
      <c r="U20" s="2"/>
      <c r="V20" s="2"/>
      <c r="W20" s="2"/>
    </row>
    <row r="21" spans="1:23">
      <c r="A21" s="2"/>
      <c r="B21" s="2">
        <f>SUM(B19:B20)</f>
        <v>880.28</v>
      </c>
      <c r="C21" s="2"/>
      <c r="I21" s="2"/>
      <c r="J21" s="2">
        <f>SUM(J19:J20)</f>
        <v>1000.64</v>
      </c>
      <c r="K21" s="2"/>
      <c r="L21" s="2"/>
      <c r="M21" s="2"/>
      <c r="N21" s="2"/>
      <c r="O21" s="2"/>
      <c r="Q21" s="2"/>
      <c r="R21" s="2">
        <f>SUM(R19:R20)</f>
        <v>1099.76</v>
      </c>
      <c r="S21" s="2"/>
      <c r="T21" s="2"/>
      <c r="U21" s="2"/>
      <c r="V21" s="2"/>
      <c r="W21" s="2"/>
    </row>
    <row r="22" spans="1:23">
      <c r="A22" s="5" t="s">
        <v>35</v>
      </c>
      <c r="B22" s="2"/>
      <c r="C22" s="2"/>
      <c r="I22" s="5" t="s">
        <v>35</v>
      </c>
      <c r="J22" s="2"/>
      <c r="K22" s="2"/>
      <c r="L22" s="2"/>
      <c r="M22" s="2"/>
      <c r="N22" s="2"/>
      <c r="O22" s="2"/>
      <c r="Q22" s="5" t="s">
        <v>35</v>
      </c>
      <c r="R22" s="2"/>
      <c r="S22" s="2"/>
      <c r="T22" s="2"/>
      <c r="U22" s="2"/>
      <c r="V22" s="2"/>
      <c r="W22" s="2"/>
    </row>
    <row r="23" spans="1:23">
      <c r="C23" s="2"/>
    </row>
    <row r="25" spans="1:23" ht="23.25">
      <c r="A25" s="4" t="s">
        <v>39</v>
      </c>
      <c r="B25" s="2"/>
      <c r="C25" s="2"/>
      <c r="D25" s="2"/>
      <c r="E25" s="2"/>
      <c r="F25" s="2"/>
      <c r="G25" s="2"/>
      <c r="I25" s="4" t="s">
        <v>41</v>
      </c>
      <c r="J25" s="2"/>
      <c r="K25" s="2"/>
      <c r="L25" s="2"/>
      <c r="M25" s="2"/>
      <c r="N25" s="2"/>
      <c r="O25" s="2"/>
      <c r="P25" s="2"/>
    </row>
    <row r="26" spans="1:23">
      <c r="A26" s="1" t="s">
        <v>2</v>
      </c>
      <c r="B26" s="2"/>
      <c r="C26" s="2"/>
      <c r="D26" s="2"/>
      <c r="E26" s="2"/>
      <c r="F26" s="2"/>
      <c r="G26" s="2"/>
      <c r="I26" s="1" t="s">
        <v>2</v>
      </c>
      <c r="J26" s="2"/>
      <c r="K26" s="2"/>
      <c r="L26" s="2"/>
      <c r="M26" s="2"/>
      <c r="N26" s="2"/>
      <c r="O26" s="2"/>
      <c r="P26" s="2"/>
    </row>
    <row r="27" spans="1:23">
      <c r="A27" s="3" t="s">
        <v>33</v>
      </c>
      <c r="B27" s="2"/>
      <c r="C27" s="2"/>
      <c r="D27" s="2"/>
      <c r="E27" s="2"/>
      <c r="F27" s="2"/>
      <c r="G27" s="2"/>
      <c r="I27" s="3" t="s">
        <v>33</v>
      </c>
      <c r="J27" s="2"/>
      <c r="K27" s="2"/>
      <c r="L27" s="2"/>
      <c r="M27" s="2"/>
      <c r="N27" s="2"/>
      <c r="O27" s="2"/>
      <c r="P27" s="2"/>
    </row>
    <row r="28" spans="1:23">
      <c r="A28" s="3" t="s">
        <v>10</v>
      </c>
      <c r="B28" s="2"/>
      <c r="C28" s="2"/>
      <c r="D28" s="2"/>
      <c r="E28" s="2"/>
      <c r="F28" s="2"/>
      <c r="G28" s="2"/>
      <c r="I28" s="3" t="s">
        <v>10</v>
      </c>
      <c r="J28" s="2"/>
      <c r="K28" s="2"/>
      <c r="L28" s="2"/>
      <c r="M28" s="2"/>
      <c r="N28" s="2"/>
      <c r="O28" s="2"/>
      <c r="P28" s="2"/>
    </row>
    <row r="29" spans="1:23">
      <c r="A29" s="2" t="s">
        <v>34</v>
      </c>
      <c r="B29" s="2"/>
      <c r="C29" s="2"/>
      <c r="D29" s="2"/>
      <c r="E29" s="2"/>
      <c r="F29" s="2"/>
      <c r="G29" s="2"/>
      <c r="I29" s="2" t="s">
        <v>34</v>
      </c>
      <c r="J29" s="2"/>
      <c r="K29" s="2"/>
      <c r="L29" s="2"/>
      <c r="M29" s="2"/>
      <c r="N29" s="2"/>
      <c r="O29" s="2"/>
      <c r="P29" s="2"/>
    </row>
    <row r="30" spans="1:23">
      <c r="A30" s="2"/>
      <c r="B30" s="2"/>
      <c r="C30" s="2"/>
      <c r="D30" s="2"/>
      <c r="E30" s="2"/>
      <c r="F30" s="2"/>
      <c r="G30" s="2"/>
      <c r="I30" s="2"/>
      <c r="J30" s="2"/>
      <c r="K30" s="2"/>
      <c r="L30" s="2"/>
      <c r="M30" s="2"/>
      <c r="N30" s="2"/>
      <c r="O30" s="2"/>
      <c r="P30" s="2"/>
    </row>
    <row r="31" spans="1:23">
      <c r="A31" s="1" t="s">
        <v>3</v>
      </c>
      <c r="B31" s="2"/>
      <c r="C31" s="2"/>
      <c r="D31" s="2"/>
      <c r="E31" s="2"/>
      <c r="F31" s="2"/>
      <c r="G31" s="2"/>
      <c r="I31" s="1" t="s">
        <v>3</v>
      </c>
      <c r="J31" s="2"/>
      <c r="K31" s="2"/>
      <c r="L31" s="2"/>
      <c r="M31" s="2"/>
      <c r="N31" s="2"/>
      <c r="O31" s="2"/>
      <c r="P31" s="2"/>
    </row>
    <row r="32" spans="1:23">
      <c r="A32" s="1" t="s">
        <v>4</v>
      </c>
      <c r="B32" s="2"/>
      <c r="C32" s="2"/>
      <c r="D32" s="2"/>
      <c r="E32" s="2"/>
      <c r="F32" s="2"/>
      <c r="G32" s="2"/>
      <c r="I32" s="1" t="s">
        <v>4</v>
      </c>
      <c r="J32" s="2"/>
      <c r="K32" s="2"/>
      <c r="L32" s="2"/>
      <c r="M32" s="2"/>
      <c r="N32" s="2"/>
      <c r="O32" s="2"/>
      <c r="P32" s="2"/>
    </row>
    <row r="33" spans="1:16">
      <c r="A33" s="1" t="s">
        <v>5</v>
      </c>
      <c r="B33" s="2"/>
      <c r="C33" s="2"/>
      <c r="D33" s="2"/>
      <c r="E33" s="2"/>
      <c r="F33" s="2"/>
      <c r="G33" s="2"/>
      <c r="I33" s="1" t="s">
        <v>5</v>
      </c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I34" s="2"/>
      <c r="J34" s="2"/>
      <c r="K34" s="2"/>
      <c r="L34" s="2"/>
      <c r="M34" s="2"/>
      <c r="N34" s="2"/>
      <c r="O34" s="2"/>
      <c r="P34" s="2"/>
    </row>
    <row r="35" spans="1:16">
      <c r="A35" s="2" t="s">
        <v>12</v>
      </c>
      <c r="B35" s="2"/>
      <c r="C35" s="2"/>
      <c r="D35" s="2"/>
      <c r="E35" s="2"/>
      <c r="F35" s="2"/>
      <c r="G35" s="2"/>
      <c r="I35" s="2" t="s">
        <v>12</v>
      </c>
      <c r="J35" s="2"/>
      <c r="K35" s="2"/>
      <c r="L35" s="2"/>
      <c r="M35" s="2"/>
      <c r="N35" s="2"/>
      <c r="O35" s="2"/>
      <c r="P35" s="2"/>
    </row>
    <row r="36" spans="1:16">
      <c r="A36" s="2" t="s">
        <v>13</v>
      </c>
      <c r="B36" s="2"/>
      <c r="C36" s="2"/>
      <c r="D36" s="2"/>
      <c r="E36" s="2"/>
      <c r="F36" s="2"/>
      <c r="G36" s="2"/>
      <c r="I36" s="2" t="s">
        <v>13</v>
      </c>
      <c r="J36" s="2"/>
      <c r="K36" s="2"/>
      <c r="L36" s="2"/>
      <c r="M36" s="2"/>
      <c r="N36" s="2"/>
      <c r="O36" s="2"/>
      <c r="P36" s="2"/>
    </row>
    <row r="37" spans="1:16">
      <c r="A37" s="2" t="s">
        <v>40</v>
      </c>
      <c r="B37" s="2"/>
      <c r="C37" s="2"/>
      <c r="D37" s="2"/>
      <c r="E37" s="2"/>
      <c r="F37" s="2"/>
      <c r="G37" s="2"/>
      <c r="I37" s="2" t="s">
        <v>40</v>
      </c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I38" s="2" t="s">
        <v>42</v>
      </c>
      <c r="J38" s="2"/>
      <c r="K38" s="2"/>
      <c r="L38" s="2"/>
      <c r="M38" s="2"/>
      <c r="N38" s="2"/>
      <c r="O38" s="2"/>
      <c r="P38" s="2"/>
    </row>
    <row r="39" spans="1:16">
      <c r="A39" s="2" t="s">
        <v>6</v>
      </c>
      <c r="B39" s="2">
        <v>1017</v>
      </c>
      <c r="C39" s="2"/>
      <c r="D39" s="2"/>
      <c r="E39" s="2"/>
      <c r="F39" s="2"/>
      <c r="G39" s="2"/>
      <c r="I39" s="2" t="s">
        <v>6</v>
      </c>
      <c r="J39" s="2">
        <v>1288</v>
      </c>
      <c r="K39" s="2"/>
      <c r="L39" s="2"/>
      <c r="M39" s="2"/>
      <c r="N39" s="2"/>
      <c r="O39" s="2"/>
      <c r="P39" s="2"/>
    </row>
    <row r="40" spans="1:16">
      <c r="A40" s="2" t="s">
        <v>7</v>
      </c>
      <c r="B40" s="2"/>
      <c r="C40" s="2"/>
      <c r="D40" s="2"/>
      <c r="E40" s="2"/>
      <c r="F40" s="2"/>
      <c r="G40" s="2"/>
      <c r="I40" s="2" t="s">
        <v>7</v>
      </c>
      <c r="J40" s="2"/>
      <c r="K40" s="2"/>
      <c r="L40" s="2"/>
      <c r="M40" s="2"/>
      <c r="N40" s="2"/>
      <c r="O40" s="2"/>
      <c r="P40" s="2"/>
    </row>
    <row r="41" spans="1:16">
      <c r="A41" s="2"/>
      <c r="B41" s="2">
        <f>SUM(B39:B40)</f>
        <v>1017</v>
      </c>
      <c r="C41" s="2"/>
      <c r="D41" s="2"/>
      <c r="E41" s="2"/>
      <c r="F41" s="2"/>
      <c r="G41" s="2"/>
      <c r="I41" s="2"/>
      <c r="J41" s="2">
        <f>SUM(J39:J40)</f>
        <v>1288</v>
      </c>
      <c r="K41" s="2"/>
      <c r="L41" s="2"/>
      <c r="M41" s="2"/>
      <c r="N41" s="2"/>
      <c r="O41" s="2"/>
      <c r="P41" s="2"/>
    </row>
    <row r="42" spans="1:16">
      <c r="A42" s="2" t="s">
        <v>8</v>
      </c>
      <c r="B42" s="2">
        <f>+B41*18%</f>
        <v>183.06</v>
      </c>
      <c r="C42" s="2"/>
      <c r="D42" s="2"/>
      <c r="E42" s="2"/>
      <c r="F42" s="2"/>
      <c r="G42" s="2"/>
      <c r="I42" s="2" t="s">
        <v>8</v>
      </c>
      <c r="J42" s="2">
        <f>+J41*18%</f>
        <v>231.84</v>
      </c>
      <c r="K42" s="2"/>
      <c r="L42" s="2"/>
      <c r="M42" s="2"/>
      <c r="N42" s="2"/>
      <c r="O42" s="2"/>
      <c r="P42" s="2"/>
    </row>
    <row r="43" spans="1:16">
      <c r="A43" s="2"/>
      <c r="B43" s="2">
        <f>SUM(B41:B42)</f>
        <v>1200.06</v>
      </c>
      <c r="C43" s="2"/>
      <c r="D43" s="2"/>
      <c r="E43" s="2"/>
      <c r="F43" s="2"/>
      <c r="G43" s="2"/>
      <c r="I43" s="2"/>
      <c r="J43" s="2">
        <f>SUM(J41:J42)</f>
        <v>1519.84</v>
      </c>
      <c r="K43" s="2"/>
      <c r="L43" s="2"/>
      <c r="M43" s="2"/>
      <c r="N43" s="2"/>
      <c r="O43" s="2"/>
      <c r="P43" s="2"/>
    </row>
    <row r="44" spans="1:16">
      <c r="A44" s="5" t="s">
        <v>35</v>
      </c>
      <c r="B44" s="2"/>
      <c r="C44" s="2"/>
      <c r="D44" s="2"/>
      <c r="E44" s="2"/>
      <c r="F44" s="2"/>
      <c r="G44" s="2"/>
      <c r="I44" s="5" t="s">
        <v>35</v>
      </c>
      <c r="J44" s="2"/>
      <c r="K44" s="2"/>
      <c r="L44" s="2"/>
      <c r="M44" s="2"/>
      <c r="N44" s="2"/>
      <c r="O44" s="2"/>
      <c r="P44" s="2"/>
    </row>
    <row r="47" spans="1:16" ht="23.25">
      <c r="A47" s="4" t="s">
        <v>43</v>
      </c>
      <c r="B47" s="2"/>
      <c r="C47" s="2"/>
      <c r="D47" s="2"/>
      <c r="E47" s="2"/>
      <c r="F47" s="2"/>
      <c r="G47" s="2"/>
      <c r="H47" s="2"/>
    </row>
    <row r="48" spans="1:16">
      <c r="A48" s="1" t="s">
        <v>2</v>
      </c>
      <c r="B48" s="2"/>
      <c r="C48" s="2"/>
      <c r="D48" s="2"/>
      <c r="E48" s="2"/>
      <c r="F48" s="2"/>
      <c r="G48" s="2"/>
      <c r="H48" s="2"/>
    </row>
    <row r="49" spans="1:8">
      <c r="A49" s="3" t="s">
        <v>33</v>
      </c>
      <c r="B49" s="2"/>
      <c r="C49" s="2"/>
      <c r="D49" s="2"/>
      <c r="E49" s="2"/>
      <c r="F49" s="2"/>
      <c r="G49" s="2"/>
      <c r="H49" s="2"/>
    </row>
    <row r="50" spans="1:8">
      <c r="A50" s="3" t="s">
        <v>10</v>
      </c>
      <c r="B50" s="2"/>
      <c r="C50" s="2"/>
      <c r="D50" s="2"/>
      <c r="E50" s="2"/>
      <c r="F50" s="2"/>
      <c r="G50" s="2"/>
      <c r="H50" s="2"/>
    </row>
    <row r="51" spans="1:8">
      <c r="A51" s="2" t="s">
        <v>34</v>
      </c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1" t="s">
        <v>3</v>
      </c>
      <c r="B53" s="2"/>
      <c r="C53" s="2"/>
      <c r="D53" s="2"/>
      <c r="E53" s="2"/>
      <c r="F53" s="2"/>
      <c r="G53" s="2"/>
      <c r="H53" s="2"/>
    </row>
    <row r="54" spans="1:8">
      <c r="A54" s="1" t="s">
        <v>4</v>
      </c>
      <c r="B54" s="2"/>
      <c r="C54" s="2"/>
      <c r="D54" s="2"/>
      <c r="E54" s="2"/>
      <c r="F54" s="2"/>
      <c r="G54" s="2"/>
      <c r="H54" s="2"/>
    </row>
    <row r="55" spans="1:8">
      <c r="A55" s="1" t="s">
        <v>5</v>
      </c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 t="s">
        <v>12</v>
      </c>
      <c r="B57" s="2"/>
      <c r="C57" s="2"/>
      <c r="D57" s="2"/>
      <c r="E57" s="2"/>
      <c r="F57" s="2"/>
      <c r="G57" s="2"/>
      <c r="H57" s="2"/>
    </row>
    <row r="58" spans="1:8">
      <c r="A58" s="2" t="s">
        <v>13</v>
      </c>
      <c r="B58" s="2"/>
      <c r="C58" s="2"/>
      <c r="D58" s="2"/>
      <c r="E58" s="2"/>
      <c r="F58" s="2"/>
      <c r="G58" s="2"/>
      <c r="H58" s="2"/>
    </row>
    <row r="59" spans="1:8">
      <c r="A59" s="2" t="s">
        <v>44</v>
      </c>
      <c r="B59" s="2"/>
      <c r="C59" s="2"/>
      <c r="D59" s="2"/>
      <c r="E59" s="2"/>
      <c r="F59" s="2"/>
      <c r="G59" s="2"/>
      <c r="H59" s="2"/>
    </row>
    <row r="60" spans="1:8">
      <c r="A60" s="2" t="s">
        <v>45</v>
      </c>
      <c r="B60" s="2"/>
      <c r="C60" s="2"/>
      <c r="D60" s="2"/>
      <c r="E60" s="2"/>
      <c r="F60" s="2"/>
      <c r="G60" s="2"/>
      <c r="H60" s="2"/>
    </row>
    <row r="61" spans="1:8">
      <c r="A61" s="2" t="s">
        <v>6</v>
      </c>
      <c r="B61" s="2">
        <v>1102</v>
      </c>
      <c r="C61" s="2"/>
      <c r="D61" s="2"/>
      <c r="E61" s="2"/>
      <c r="F61" s="2"/>
      <c r="G61" s="2"/>
      <c r="H61" s="2"/>
    </row>
    <row r="62" spans="1:8">
      <c r="A62" s="2" t="s">
        <v>7</v>
      </c>
      <c r="B62" s="2"/>
      <c r="C62" s="2"/>
      <c r="D62" s="2"/>
      <c r="E62" s="2"/>
      <c r="F62" s="2"/>
      <c r="G62" s="2"/>
      <c r="H62" s="2"/>
    </row>
    <row r="63" spans="1:8">
      <c r="A63" s="2"/>
      <c r="B63" s="2">
        <f>SUM(B61:B62)</f>
        <v>1102</v>
      </c>
      <c r="C63" s="2"/>
      <c r="D63" s="2"/>
      <c r="E63" s="2"/>
      <c r="F63" s="2"/>
      <c r="G63" s="2"/>
      <c r="H63" s="2"/>
    </row>
    <row r="64" spans="1:8">
      <c r="A64" s="2" t="s">
        <v>8</v>
      </c>
      <c r="B64" s="2">
        <f>+B63*18%</f>
        <v>198.35999999999999</v>
      </c>
      <c r="C64" s="2"/>
      <c r="D64" s="2"/>
      <c r="E64" s="2"/>
      <c r="F64" s="2"/>
      <c r="G64" s="2"/>
      <c r="H64" s="2"/>
    </row>
    <row r="65" spans="1:8">
      <c r="A65" s="2"/>
      <c r="B65" s="2">
        <f>SUM(B63:B64)</f>
        <v>1300.3599999999999</v>
      </c>
      <c r="C65" s="2"/>
      <c r="D65" s="2"/>
      <c r="E65" s="2"/>
      <c r="F65" s="2"/>
      <c r="G65" s="2"/>
      <c r="H65" s="2"/>
    </row>
    <row r="66" spans="1:8">
      <c r="A66" s="5" t="s">
        <v>35</v>
      </c>
      <c r="B66" s="2"/>
      <c r="C66" s="2"/>
      <c r="D66" s="2"/>
      <c r="E66" s="2"/>
      <c r="F66" s="2"/>
      <c r="G66" s="2"/>
      <c r="H6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H14" sqref="H14"/>
    </sheetView>
  </sheetViews>
  <sheetFormatPr defaultRowHeight="15"/>
  <cols>
    <col min="1" max="1" width="83" bestFit="1" customWidth="1"/>
    <col min="2" max="4" width="9.140625" customWidth="1"/>
  </cols>
  <sheetData>
    <row r="1" spans="1:7" ht="31.5">
      <c r="A1" s="7" t="s">
        <v>47</v>
      </c>
    </row>
    <row r="2" spans="1:7">
      <c r="C2" s="2" t="s">
        <v>87</v>
      </c>
      <c r="D2" s="2" t="s">
        <v>88</v>
      </c>
      <c r="E2" s="2" t="s">
        <v>86</v>
      </c>
    </row>
    <row r="3" spans="1:7" ht="18">
      <c r="A3" s="9" t="s">
        <v>49</v>
      </c>
      <c r="B3" s="2" t="s">
        <v>46</v>
      </c>
      <c r="C3">
        <v>28</v>
      </c>
      <c r="D3">
        <v>5</v>
      </c>
      <c r="E3">
        <v>7</v>
      </c>
      <c r="F3">
        <f>+E3*D3*30</f>
        <v>1050</v>
      </c>
    </row>
    <row r="5" spans="1:7">
      <c r="A5" s="1" t="s">
        <v>3</v>
      </c>
      <c r="B5" s="2"/>
      <c r="C5" s="2"/>
      <c r="D5" s="2"/>
      <c r="E5" s="2"/>
      <c r="F5" s="2"/>
      <c r="G5" s="2"/>
    </row>
    <row r="6" spans="1:7">
      <c r="A6" s="1" t="s">
        <v>4</v>
      </c>
      <c r="B6" s="2"/>
      <c r="C6" s="2"/>
      <c r="D6" s="2"/>
      <c r="E6" s="2"/>
      <c r="F6" s="2"/>
      <c r="G6" s="2"/>
    </row>
    <row r="9" spans="1:7" ht="18">
      <c r="A9" s="9" t="s">
        <v>50</v>
      </c>
      <c r="B9" s="2" t="s">
        <v>46</v>
      </c>
      <c r="C9" s="2">
        <v>33</v>
      </c>
      <c r="D9" s="2">
        <v>5</v>
      </c>
      <c r="E9" s="2">
        <v>7</v>
      </c>
      <c r="F9" s="2">
        <f>+E9*D9*40</f>
        <v>1400</v>
      </c>
    </row>
    <row r="10" spans="1:7">
      <c r="A10" s="2" t="s">
        <v>48</v>
      </c>
      <c r="B10" s="2"/>
      <c r="C10" s="2"/>
      <c r="D10" s="2"/>
      <c r="E10" s="2"/>
      <c r="F10" s="2"/>
    </row>
    <row r="11" spans="1:7">
      <c r="A11" s="1" t="s">
        <v>3</v>
      </c>
      <c r="B11" s="2"/>
      <c r="C11" s="2"/>
      <c r="D11" s="2"/>
      <c r="E11" s="2"/>
      <c r="F11" s="2"/>
    </row>
    <row r="12" spans="1:7">
      <c r="A12" s="1" t="s">
        <v>4</v>
      </c>
      <c r="B12" s="2"/>
      <c r="C12" s="2"/>
      <c r="D12" s="2"/>
      <c r="E12" s="2"/>
      <c r="F12" s="2"/>
    </row>
    <row r="15" spans="1:7" ht="18">
      <c r="A15" s="9" t="s">
        <v>51</v>
      </c>
      <c r="B15" s="2" t="s">
        <v>46</v>
      </c>
      <c r="C15" s="2">
        <v>37</v>
      </c>
      <c r="D15" s="2">
        <v>5</v>
      </c>
      <c r="E15" s="2">
        <v>7</v>
      </c>
      <c r="F15" s="2">
        <f>+E15*D15*40</f>
        <v>1400</v>
      </c>
    </row>
    <row r="16" spans="1:7">
      <c r="A16" s="2"/>
      <c r="B16" s="2"/>
      <c r="C16" s="2"/>
      <c r="D16" s="2"/>
      <c r="E16" s="2"/>
      <c r="F16" s="2"/>
    </row>
    <row r="17" spans="1:6">
      <c r="A17" s="1" t="s">
        <v>3</v>
      </c>
      <c r="B17" s="2"/>
      <c r="C17" s="2"/>
      <c r="D17" s="2"/>
      <c r="E17" s="2"/>
      <c r="F17" s="2"/>
    </row>
    <row r="18" spans="1:6">
      <c r="A18" s="1" t="s">
        <v>4</v>
      </c>
      <c r="B18" s="2"/>
      <c r="C18" s="2"/>
      <c r="D18" s="2"/>
      <c r="E18" s="2"/>
      <c r="F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D18" sqref="D18"/>
    </sheetView>
  </sheetViews>
  <sheetFormatPr defaultRowHeight="15"/>
  <cols>
    <col min="1" max="1" width="51.85546875" bestFit="1" customWidth="1"/>
  </cols>
  <sheetData>
    <row r="1" spans="1:2" ht="31.5">
      <c r="A1" s="7" t="s">
        <v>52</v>
      </c>
    </row>
    <row r="3" spans="1:2">
      <c r="A3" s="8" t="s">
        <v>53</v>
      </c>
      <c r="B3">
        <v>1150</v>
      </c>
    </row>
    <row r="4" spans="1:2">
      <c r="A4" s="2" t="s">
        <v>56</v>
      </c>
    </row>
    <row r="5" spans="1:2">
      <c r="A5" s="8" t="s">
        <v>54</v>
      </c>
      <c r="B5">
        <v>1100</v>
      </c>
    </row>
    <row r="6" spans="1:2">
      <c r="A6" s="2" t="s">
        <v>57</v>
      </c>
    </row>
    <row r="7" spans="1:2">
      <c r="A7" s="8" t="s">
        <v>55</v>
      </c>
      <c r="B7">
        <v>1250</v>
      </c>
    </row>
    <row r="8" spans="1:2">
      <c r="A8" s="2" t="s">
        <v>57</v>
      </c>
    </row>
    <row r="9" spans="1:2">
      <c r="A9" s="8" t="s">
        <v>62</v>
      </c>
      <c r="B9">
        <v>2000</v>
      </c>
    </row>
    <row r="10" spans="1:2">
      <c r="A10" s="2" t="s">
        <v>58</v>
      </c>
    </row>
    <row r="12" spans="1:2">
      <c r="A12" s="8" t="s">
        <v>59</v>
      </c>
      <c r="B12" s="2">
        <v>1450</v>
      </c>
    </row>
    <row r="13" spans="1:2">
      <c r="A13" s="2" t="s">
        <v>56</v>
      </c>
      <c r="B13" s="2"/>
    </row>
    <row r="14" spans="1:2">
      <c r="A14" s="8" t="s">
        <v>60</v>
      </c>
      <c r="B14" s="2">
        <v>1400</v>
      </c>
    </row>
    <row r="15" spans="1:2">
      <c r="A15" s="2" t="s">
        <v>57</v>
      </c>
      <c r="B15" s="2"/>
    </row>
    <row r="16" spans="1:2">
      <c r="A16" s="8" t="s">
        <v>61</v>
      </c>
      <c r="B16" s="2">
        <v>1550</v>
      </c>
    </row>
    <row r="17" spans="1:2">
      <c r="A17" s="2" t="s">
        <v>57</v>
      </c>
    </row>
    <row r="18" spans="1:2">
      <c r="A18" s="8" t="s">
        <v>73</v>
      </c>
      <c r="B18" s="2">
        <v>2100</v>
      </c>
    </row>
    <row r="19" spans="1:2">
      <c r="A19" s="2" t="s">
        <v>58</v>
      </c>
      <c r="B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61.42578125" bestFit="1" customWidth="1"/>
  </cols>
  <sheetData>
    <row r="1" spans="1:2" ht="31.5">
      <c r="A1" s="7" t="s">
        <v>63</v>
      </c>
    </row>
    <row r="3" spans="1:2">
      <c r="A3" s="8" t="s">
        <v>64</v>
      </c>
      <c r="B3">
        <v>2600</v>
      </c>
    </row>
    <row r="5" spans="1:2">
      <c r="A5" s="8" t="s">
        <v>65</v>
      </c>
      <c r="B5">
        <v>3000</v>
      </c>
    </row>
    <row r="7" spans="1:2">
      <c r="A7" s="8" t="s">
        <v>66</v>
      </c>
      <c r="B7">
        <v>3600</v>
      </c>
    </row>
    <row r="9" spans="1:2">
      <c r="A9" s="8" t="s">
        <v>67</v>
      </c>
      <c r="B9">
        <v>1300</v>
      </c>
    </row>
    <row r="11" spans="1:2">
      <c r="A11" s="8" t="s">
        <v>68</v>
      </c>
      <c r="B11">
        <v>1500</v>
      </c>
    </row>
    <row r="13" spans="1:2">
      <c r="A13" s="8" t="s">
        <v>69</v>
      </c>
      <c r="B13">
        <v>1800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E10" sqref="E10"/>
    </sheetView>
  </sheetViews>
  <sheetFormatPr defaultRowHeight="15"/>
  <cols>
    <col min="1" max="1" width="39.28515625" bestFit="1" customWidth="1"/>
  </cols>
  <sheetData>
    <row r="1" spans="1:2" ht="31.5">
      <c r="A1" s="7" t="s">
        <v>72</v>
      </c>
    </row>
    <row r="2" spans="1:2">
      <c r="A2" s="8" t="s">
        <v>70</v>
      </c>
      <c r="B2">
        <v>1700</v>
      </c>
    </row>
    <row r="3" spans="1:2">
      <c r="A3" s="2" t="s">
        <v>58</v>
      </c>
    </row>
    <row r="4" spans="1:2">
      <c r="A4" s="2" t="s">
        <v>71</v>
      </c>
      <c r="B4">
        <v>2200</v>
      </c>
    </row>
    <row r="5" spans="1:2">
      <c r="A5" s="2" t="s">
        <v>56</v>
      </c>
    </row>
    <row r="6" spans="1:2">
      <c r="A6" s="2" t="s">
        <v>74</v>
      </c>
      <c r="B6" s="2">
        <v>2400</v>
      </c>
    </row>
    <row r="7" spans="1:2">
      <c r="A7" s="2" t="s">
        <v>58</v>
      </c>
    </row>
    <row r="9" spans="1:2">
      <c r="A9" s="8"/>
      <c r="B9" s="2"/>
    </row>
    <row r="10" spans="1:2">
      <c r="A10" s="2"/>
      <c r="B10" s="2"/>
    </row>
    <row r="12" spans="1:2">
      <c r="A12" s="8"/>
      <c r="B12" s="2"/>
    </row>
    <row r="13" spans="1:2">
      <c r="A13" s="2"/>
      <c r="B1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C3" sqref="C3"/>
    </sheetView>
  </sheetViews>
  <sheetFormatPr defaultRowHeight="15"/>
  <cols>
    <col min="1" max="1" width="50.140625" bestFit="1" customWidth="1"/>
  </cols>
  <sheetData>
    <row r="1" spans="1:3" ht="31.5">
      <c r="A1" s="7" t="s">
        <v>75</v>
      </c>
    </row>
    <row r="2" spans="1:3">
      <c r="A2" s="2"/>
    </row>
    <row r="3" spans="1:3">
      <c r="A3" s="8" t="s">
        <v>76</v>
      </c>
      <c r="B3">
        <v>33</v>
      </c>
      <c r="C3" s="2"/>
    </row>
    <row r="4" spans="1:3">
      <c r="A4" s="2" t="s">
        <v>81</v>
      </c>
    </row>
    <row r="5" spans="1:3">
      <c r="A5" s="2" t="s">
        <v>80</v>
      </c>
    </row>
    <row r="7" spans="1:3">
      <c r="A7" s="8" t="s">
        <v>77</v>
      </c>
      <c r="B7">
        <v>37</v>
      </c>
    </row>
    <row r="8" spans="1:3">
      <c r="A8" s="2" t="s">
        <v>82</v>
      </c>
    </row>
    <row r="9" spans="1:3">
      <c r="A9" s="2" t="s">
        <v>80</v>
      </c>
    </row>
    <row r="11" spans="1:3">
      <c r="A11" s="8" t="s">
        <v>78</v>
      </c>
      <c r="B11">
        <v>42</v>
      </c>
    </row>
    <row r="12" spans="1:3">
      <c r="A12" s="2" t="s">
        <v>83</v>
      </c>
    </row>
    <row r="13" spans="1:3">
      <c r="A13" s="2" t="s">
        <v>80</v>
      </c>
    </row>
    <row r="15" spans="1:3">
      <c r="A15" s="8" t="s">
        <v>79</v>
      </c>
      <c r="B15">
        <v>46</v>
      </c>
    </row>
    <row r="16" spans="1:3">
      <c r="A16" s="2" t="s">
        <v>84</v>
      </c>
    </row>
    <row r="17" spans="1:1">
      <c r="A17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</dc:creator>
  <cp:lastModifiedBy>Ratan</cp:lastModifiedBy>
  <dcterms:created xsi:type="dcterms:W3CDTF">2026-08-27T04:10:41Z</dcterms:created>
  <dcterms:modified xsi:type="dcterms:W3CDTF">2026-08-27T10:17:54Z</dcterms:modified>
</cp:coreProperties>
</file>